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44" yWindow="0" windowWidth="15552" windowHeight="17376" tabRatio="600" firstSheet="0" activeTab="1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Coverage" sheetId="4" state="visible" r:id="rId4"/>
  </sheets>
  <definedNames>
    <definedName name="_xlnm._FilterDatabase" localSheetId="1" hidden="1">'choices'!$A$1:$E$201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#,##0;\-#,##0;&quot;—&quot;"/>
  </numFmts>
  <fonts count="11">
    <font>
      <name val="Calibri"/>
      <family val="2"/>
      <color theme="1"/>
      <sz val="11"/>
      <scheme val="minor"/>
    </font>
    <font>
      <name val="Khmer OS Battambang"/>
      <b val="1"/>
      <color rgb="FFFFFFFF"/>
      <sz val="10"/>
    </font>
    <font>
      <name val="Khmer OS Battambang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4" borderId="7" pivotButton="0" quotePrefix="0" xfId="0"/>
    <xf numFmtId="3" fontId="3" fillId="4" borderId="8" pivotButton="0" quotePrefix="0" xfId="0"/>
    <xf numFmtId="3" fontId="7" fillId="0" borderId="5" pivotButton="0" quotePrefix="0" xfId="0"/>
    <xf numFmtId="3" fontId="8" fillId="0" borderId="5" pivotButton="0" quotePrefix="0" xfId="0"/>
    <xf numFmtId="164" fontId="8" fillId="0" borderId="5" pivotButton="0" quotePrefix="0" xfId="0"/>
    <xf numFmtId="3" fontId="8" fillId="0" borderId="6" pivotButton="0" quotePrefix="0" xfId="0"/>
    <xf numFmtId="3" fontId="9" fillId="4" borderId="8" pivotButton="0" quotePrefix="0" xfId="0"/>
    <xf numFmtId="164" fontId="9" fillId="4" borderId="8" pivotButton="0" quotePrefix="0" xfId="0"/>
    <xf numFmtId="3" fontId="9" fillId="4" borderId="9" pivotButton="0" quotePrefix="0" xfId="0"/>
    <xf numFmtId="0" fontId="8" fillId="0" borderId="6" pivotButton="0" quotePrefix="0" xfId="0"/>
    <xf numFmtId="0" fontId="8" fillId="0" borderId="9" pivotButton="0" quotePrefix="0" xfId="0"/>
    <xf numFmtId="164" fontId="8" fillId="5" borderId="5" pivotButton="0" quotePrefix="0" xfId="0"/>
    <xf numFmtId="0" fontId="6" fillId="3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15" activePane="bottomLeft" state="frozen"/>
      <selection pane="bottomLeft" activeCell="A1" sqref="A1"/>
    </sheetView>
  </sheetViews>
  <sheetFormatPr baseColWidth="8" defaultRowHeight="14.4"/>
  <cols>
    <col width="22" customWidth="1" min="1" max="1"/>
    <col width="14" customWidth="1" min="2" max="2"/>
    <col width="60" customWidth="1" min="3" max="3"/>
    <col width="10" customWidth="1" min="4" max="4"/>
    <col width="40" customWidth="1" min="5" max="5"/>
    <col width="30" customWidth="1" min="6" max="6"/>
    <col width="24" customWidth="1" min="7" max="7"/>
  </cols>
  <sheetData>
    <row r="1" ht="21.6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calculation</t>
        </is>
      </c>
      <c r="F1" s="1" t="inlineStr">
        <is>
          <t>relevant</t>
        </is>
      </c>
      <c r="G1" s="1" t="inlineStr">
        <is>
          <t>choice_filter</t>
        </is>
      </c>
    </row>
    <row r="2" ht="86.40000000000001" customHeight="1">
      <c r="A2" s="2" t="inlineStr">
        <is>
          <t>note</t>
        </is>
      </c>
      <c r="B2" s="2" t="inlineStr">
        <is>
          <t>welcome_banner</t>
        </is>
      </c>
      <c r="C2" s="2" t="inlineStr">
        <is>
          <t>🩸 ការធ្វើតេស្តចំណេះដឹង Pre/Post — ការប្រើប្រាស់ RDT "FIRST RESPONSE"
កម្មវិធីជាតិកម្ចាត់ជំងឺគ្រុនចាញ់ (CNM)
📝 សំណួរចំនួន ១៥ ស្តីពីការប្រើប្រាស់ និងគុណភាព RDT។ ជោគជ័យ!</t>
        </is>
      </c>
      <c r="D2" s="2" t="n"/>
      <c r="E2" s="2" t="n"/>
      <c r="F2" s="2" t="n"/>
      <c r="G2" s="2" t="n"/>
    </row>
    <row r="3" ht="21.6" customHeight="1">
      <c r="A3" s="2" t="inlineStr">
        <is>
          <t>select_one test_type</t>
        </is>
      </c>
      <c r="B3" s="2" t="inlineStr">
        <is>
          <t>test_type</t>
        </is>
      </c>
      <c r="C3" s="2" t="inlineStr">
        <is>
          <t>ប្រភេទតេស្ត</t>
        </is>
      </c>
      <c r="D3" s="2" t="inlineStr">
        <is>
          <t>yes</t>
        </is>
      </c>
      <c r="E3" s="2" t="n"/>
      <c r="F3" s="2" t="n"/>
      <c r="G3" s="2" t="n"/>
    </row>
    <row r="4" ht="21.6" customHeight="1">
      <c r="A4" s="2" t="inlineStr">
        <is>
          <t>date</t>
        </is>
      </c>
      <c r="B4" s="2" t="inlineStr">
        <is>
          <t>test_date</t>
        </is>
      </c>
      <c r="C4" s="2" t="inlineStr">
        <is>
          <t>ថ្ងៃខែឆ្នាំ</t>
        </is>
      </c>
      <c r="D4" s="2" t="inlineStr">
        <is>
          <t>yes</t>
        </is>
      </c>
      <c r="E4" s="2" t="n"/>
      <c r="F4" s="2" t="n"/>
      <c r="G4" s="2" t="n"/>
    </row>
    <row r="5" ht="21.6" customHeight="1">
      <c r="A5" s="2" t="inlineStr">
        <is>
          <t>select_one position</t>
        </is>
      </c>
      <c r="B5" s="2" t="inlineStr">
        <is>
          <t>position</t>
        </is>
      </c>
      <c r="C5" s="2" t="inlineStr">
        <is>
          <t>តួនាទី</t>
        </is>
      </c>
      <c r="D5" s="2" t="inlineStr">
        <is>
          <t>yes</t>
        </is>
      </c>
      <c r="E5" s="2" t="n"/>
      <c r="F5" s="2" t="n"/>
      <c r="G5" s="2" t="n"/>
    </row>
    <row r="6">
      <c r="A6" t="inlineStr">
        <is>
          <t>text</t>
        </is>
      </c>
      <c r="B6" t="inlineStr">
        <is>
          <t>position_other</t>
        </is>
      </c>
      <c r="C6" t="inlineStr">
        <is>
          <t>ផ្សេងទៀត — សូមបញ្ជាក់</t>
        </is>
      </c>
      <c r="D6" t="inlineStr">
        <is>
          <t>yes</t>
        </is>
      </c>
      <c r="F6" t="inlineStr">
        <is>
          <t>${position}='other'</t>
        </is>
      </c>
    </row>
    <row r="7" ht="21.6" customHeight="1">
      <c r="A7" t="inlineStr">
        <is>
          <t>text</t>
        </is>
      </c>
      <c r="B7" t="inlineStr">
        <is>
          <t>org_name</t>
        </is>
      </c>
      <c r="C7" t="inlineStr">
        <is>
          <t>ឈ្មោះអង្គការ / Name of organization</t>
        </is>
      </c>
      <c r="D7" t="inlineStr">
        <is>
          <t>yes</t>
        </is>
      </c>
      <c r="F7" t="inlineStr">
        <is>
          <t>${position}='ngo'</t>
        </is>
      </c>
    </row>
    <row r="8">
      <c r="A8" s="2" t="inlineStr">
        <is>
          <t>select_one province</t>
        </is>
      </c>
      <c r="B8" s="2" t="inlineStr">
        <is>
          <t>province</t>
        </is>
      </c>
      <c r="C8" s="2" t="inlineStr">
        <is>
          <t>ខេត្ត</t>
        </is>
      </c>
      <c r="D8" s="2" t="inlineStr">
        <is>
          <t>yes</t>
        </is>
      </c>
      <c r="E8" s="2" t="n"/>
      <c r="F8" s="2" t="inlineStr">
        <is>
          <t>${position}!='ngo'</t>
        </is>
      </c>
      <c r="G8" s="2" t="n"/>
    </row>
    <row r="9" ht="43.2" customHeight="1">
      <c r="A9" t="inlineStr">
        <is>
          <t>text</t>
        </is>
      </c>
      <c r="B9" t="inlineStr">
        <is>
          <t>province_other</t>
        </is>
      </c>
      <c r="C9" t="inlineStr">
        <is>
          <t>ផ្សេងទៀត — សូមបញ្ជាក់</t>
        </is>
      </c>
      <c r="D9" t="inlineStr">
        <is>
          <t>yes</t>
        </is>
      </c>
      <c r="F9" t="inlineStr">
        <is>
          <t>${province}='other'</t>
        </is>
      </c>
    </row>
    <row r="10">
      <c r="A10" s="2" t="inlineStr">
        <is>
          <t>select_one od</t>
        </is>
      </c>
      <c r="B10" s="2" t="inlineStr">
        <is>
          <t>od</t>
        </is>
      </c>
      <c r="C10" s="2" t="inlineStr">
        <is>
          <t>ការិយាល័យប្រតិបត្តិការ (OD)</t>
        </is>
      </c>
      <c r="D10" s="2" t="inlineStr">
        <is>
          <t>yes</t>
        </is>
      </c>
      <c r="E10" s="2" t="n"/>
      <c r="F10" s="2" t="inlineStr">
        <is>
          <t>${province}!='' and ${position}!='pms'</t>
        </is>
      </c>
      <c r="G10" s="2" t="inlineStr">
        <is>
          <t>province_id=${province} or name='other'</t>
        </is>
      </c>
    </row>
    <row r="11" ht="43.2" customHeight="1">
      <c r="A11" t="inlineStr">
        <is>
          <t>text</t>
        </is>
      </c>
      <c r="B11" t="inlineStr">
        <is>
          <t>od_other</t>
        </is>
      </c>
      <c r="C11" t="inlineStr">
        <is>
          <t>ផ្សេងទៀត — សូមបញ្ជាក់</t>
        </is>
      </c>
      <c r="D11" t="inlineStr">
        <is>
          <t>yes</t>
        </is>
      </c>
      <c r="F11" t="inlineStr">
        <is>
          <t>${od}='other'</t>
        </is>
      </c>
    </row>
    <row r="12">
      <c r="A12" s="2" t="inlineStr">
        <is>
          <t>select_one hc</t>
        </is>
      </c>
      <c r="B12" s="2" t="inlineStr">
        <is>
          <t>hc</t>
        </is>
      </c>
      <c r="C12" s="2" t="inlineStr">
        <is>
          <t>មណ្ឌលសុខភាព (HC)</t>
        </is>
      </c>
      <c r="D12" s="2" t="inlineStr">
        <is>
          <t>yes</t>
        </is>
      </c>
      <c r="E12" s="2" t="n"/>
      <c r="F12" s="2" t="inlineStr">
        <is>
          <t>(${position}='hc' or ${position}='other') and ${od}!=''</t>
        </is>
      </c>
      <c r="G12" s="2" t="inlineStr">
        <is>
          <t>od_id=${od} or name='other'</t>
        </is>
      </c>
    </row>
    <row r="13" ht="21.6" customHeight="1">
      <c r="A13" t="inlineStr">
        <is>
          <t>text</t>
        </is>
      </c>
      <c r="B13" t="inlineStr">
        <is>
          <t>hc_other</t>
        </is>
      </c>
      <c r="C13" t="inlineStr">
        <is>
          <t>ផ្សេងទៀត — សូមបញ្ជាក់</t>
        </is>
      </c>
      <c r="D13" t="inlineStr">
        <is>
          <t>yes</t>
        </is>
      </c>
      <c r="F13" t="inlineStr">
        <is>
          <t>${hc}='other'</t>
        </is>
      </c>
    </row>
    <row r="14" ht="21.6" customHeight="1">
      <c r="A14" s="2" t="inlineStr">
        <is>
          <t>note</t>
        </is>
      </c>
      <c r="B14" s="2" t="inlineStr">
        <is>
          <t>instructions</t>
        </is>
      </c>
      <c r="C14" s="2" t="inlineStr">
        <is>
          <t>✅ សូមជ្រើសរើសចម្លើយត្រឹមត្រូវតែមួយសម្រាប់សំណួរនីមួយៗ</t>
        </is>
      </c>
      <c r="D14" s="2" t="n"/>
      <c r="E14" s="2" t="n"/>
      <c r="F14" s="2" t="n"/>
      <c r="G14" s="2" t="n"/>
    </row>
    <row r="15" ht="43.2" customHeight="1">
      <c r="A15" s="2" t="inlineStr">
        <is>
          <t>select_one q1</t>
        </is>
      </c>
      <c r="B15" s="2" t="inlineStr">
        <is>
          <t>q1</t>
        </is>
      </c>
      <c r="C15" s="2" t="inlineStr">
        <is>
          <t>១. តើ Malaria RDT ត្រូវបានប្រើសម្រាប់គោលបំណងអ្វី?</t>
        </is>
      </c>
      <c r="D15" s="2" t="inlineStr">
        <is>
          <t>yes</t>
        </is>
      </c>
      <c r="E15" s="2" t="n"/>
      <c r="F15" s="2" t="n"/>
      <c r="G15" s="2" t="n"/>
    </row>
    <row r="16" ht="21.6" customHeight="1">
      <c r="A16" s="2" t="inlineStr">
        <is>
          <t>select_one q2</t>
        </is>
      </c>
      <c r="B16" s="2" t="inlineStr">
        <is>
          <t>q2</t>
        </is>
      </c>
      <c r="C16" s="2" t="inlineStr">
        <is>
          <t>២. RDT First Response pLDH/HRP2 Combo អាចរកឃើញ marker សំខាន់ៗអ្វីខ្លះ?</t>
        </is>
      </c>
      <c r="D16" s="2" t="inlineStr">
        <is>
          <t>yes</t>
        </is>
      </c>
      <c r="E16" s="2" t="n"/>
      <c r="F16" s="2" t="n"/>
      <c r="G16" s="2" t="n"/>
    </row>
    <row r="17" ht="21.6" customHeight="1">
      <c r="A17" s="2" t="inlineStr">
        <is>
          <t>select_one q3</t>
        </is>
      </c>
      <c r="B17" s="2" t="inlineStr">
        <is>
          <t>q3</t>
        </is>
      </c>
      <c r="C17" s="2" t="inlineStr">
        <is>
          <t>៣. HRP2 មានទំនាក់ទំនងជាចម្បងជាមួយមេរោគប្រភេទណា?</t>
        </is>
      </c>
      <c r="D17" s="2" t="inlineStr">
        <is>
          <t>yes</t>
        </is>
      </c>
      <c r="E17" s="2" t="n"/>
      <c r="F17" s="2" t="n"/>
      <c r="G17" s="2" t="n"/>
    </row>
    <row r="18" ht="21.6" customHeight="1">
      <c r="A18" s="2" t="inlineStr">
        <is>
          <t>select_one q4</t>
        </is>
      </c>
      <c r="B18" s="2" t="inlineStr">
        <is>
          <t>q4</t>
        </is>
      </c>
      <c r="C18" s="2" t="inlineStr">
        <is>
          <t>៤. pLDH/PAN ក្នុង RDT មានសារៈសំខាន់អ្វី?</t>
        </is>
      </c>
      <c r="D18" s="2" t="inlineStr">
        <is>
          <t>yes</t>
        </is>
      </c>
      <c r="E18" s="2" t="n"/>
      <c r="F18" s="2" t="n"/>
      <c r="G18" s="2" t="n"/>
    </row>
    <row r="19" ht="43.2" customHeight="1">
      <c r="A19" s="2" t="inlineStr">
        <is>
          <t>select_one q5</t>
        </is>
      </c>
      <c r="B19" s="2" t="inlineStr">
        <is>
          <t>q5</t>
        </is>
      </c>
      <c r="C19" s="2" t="inlineStr">
        <is>
          <t>៥. តើសំណាកអ្វីអាចប្រើសម្រាប់ RDT នេះ?</t>
        </is>
      </c>
      <c r="D19" s="2" t="inlineStr">
        <is>
          <t>yes</t>
        </is>
      </c>
      <c r="E19" s="2" t="n"/>
      <c r="F19" s="2" t="n"/>
      <c r="G19" s="2" t="n"/>
    </row>
    <row r="20" ht="43.2" customHeight="1">
      <c r="A20" s="2" t="inlineStr">
        <is>
          <t>select_one q6</t>
        </is>
      </c>
      <c r="B20" s="2" t="inlineStr">
        <is>
          <t>q6</t>
        </is>
      </c>
      <c r="C20" s="2" t="inlineStr">
        <is>
          <t>៦. ប្រសិនបើ RDT អវិជ្ជមាន ប៉ុន្តែអ្នកជំងឺមានរោគសញ្ញា និងប្រវត្តិធ្វើដំណើរទៅតំបន់មានហានិភ័យខ្ពស់ តើគួរធ្វើដូចម្ដេច?</t>
        </is>
      </c>
      <c r="D20" s="2" t="inlineStr">
        <is>
          <t>yes</t>
        </is>
      </c>
      <c r="E20" s="2" t="n"/>
      <c r="F20" s="2" t="n"/>
      <c r="G20" s="2" t="n"/>
    </row>
    <row r="21" ht="43.2" customHeight="1">
      <c r="A21" s="2" t="inlineStr">
        <is>
          <t>select_one q7</t>
        </is>
      </c>
      <c r="B21" s="2" t="inlineStr">
        <is>
          <t>q7</t>
        </is>
      </c>
      <c r="C21" s="2" t="inlineStr">
        <is>
          <t>៧. ហេតុអ្វីបានជាត្រូវប្រុងប្រយ័ត្នចំពោះ RDT អវិជ្ជមានក្នុងករណី parasite density ទាប?</t>
        </is>
      </c>
      <c r="D21" s="2" t="inlineStr">
        <is>
          <t>yes</t>
        </is>
      </c>
      <c r="E21" s="2" t="n"/>
      <c r="F21" s="2" t="n"/>
      <c r="G21" s="2" t="n"/>
    </row>
    <row r="22" ht="43.2" customHeight="1">
      <c r="A22" s="2" t="inlineStr">
        <is>
          <t>select_one q8</t>
        </is>
      </c>
      <c r="B22" s="2" t="inlineStr">
        <is>
          <t>q8</t>
        </is>
      </c>
      <c r="C22" s="2" t="inlineStr">
        <is>
          <t>៨. តើលក្ខខណ្ឌសំខាន់បំផុតមួយក្នុងការរក្សាទុក RDT ដែលបង្ហាញលើប្រអប់នេះគឺអ្វី?</t>
        </is>
      </c>
      <c r="D22" s="2" t="inlineStr">
        <is>
          <t>yes</t>
        </is>
      </c>
      <c r="E22" s="2" t="n"/>
      <c r="F22" s="2" t="n"/>
      <c r="G22" s="2" t="n"/>
    </row>
    <row r="23" ht="43.2" customHeight="1">
      <c r="A23" s="2" t="inlineStr">
        <is>
          <t>select_one q9</t>
        </is>
      </c>
      <c r="B23" s="2" t="inlineStr">
        <is>
          <t>q9</t>
        </is>
      </c>
      <c r="C23" s="2" t="inlineStr">
        <is>
          <t>៩. ប្រសិនបើ RDT បង្ហាញលទ្ធផល Positive តើបុគ្គលិកសុខាភិបាលគួរធ្វើអ្វីជំហានបន្ទាប់?</t>
        </is>
      </c>
      <c r="D23" s="2" t="inlineStr">
        <is>
          <t>yes</t>
        </is>
      </c>
      <c r="E23" s="2" t="n"/>
      <c r="F23" s="2" t="n"/>
      <c r="G23" s="2" t="n"/>
    </row>
    <row r="24" ht="43.2" customHeight="1">
      <c r="A24" s="2" t="inlineStr">
        <is>
          <t>select_one q10</t>
        </is>
      </c>
      <c r="B24" s="2" t="inlineStr">
        <is>
          <t>q10</t>
        </is>
      </c>
      <c r="C24" s="2" t="inlineStr">
        <is>
          <t>១០. សម្រាប់អ្នកជំងឺដែលត្រូវបានបញ្ជាក់ថាមាន P. vivax តើការគ្រប់គ្រងតាមកម្មវិធីគ្រុនចាញ់កម្ពុជាគួរយកចិត្តទុកដាក់លើអ្វីបន្ថែម?</t>
        </is>
      </c>
      <c r="D24" s="2" t="inlineStr">
        <is>
          <t>yes</t>
        </is>
      </c>
      <c r="E24" s="2" t="n"/>
      <c r="F24" s="2" t="n"/>
      <c r="G24" s="2" t="n"/>
    </row>
    <row r="25" ht="43.2" customHeight="1">
      <c r="A25" s="2" t="inlineStr">
        <is>
          <t>select_one q11</t>
        </is>
      </c>
      <c r="B25" s="2" t="inlineStr">
        <is>
          <t>q11</t>
        </is>
      </c>
      <c r="C25" s="2" t="inlineStr">
        <is>
          <t>១១. នៅពេលចុះត្រួតពិនិត្យ RDT នៅមូលដ្ឋានសុខាភិបាល តើចំណុចណាមួយដែលអ្នកត្រួតពិនិត្យត្រូវពិនិត្យជាមុន?</t>
        </is>
      </c>
      <c r="D25" s="2" t="inlineStr">
        <is>
          <t>yes</t>
        </is>
      </c>
      <c r="E25" s="2" t="n"/>
      <c r="F25" s="2" t="n"/>
      <c r="G25" s="2" t="n"/>
    </row>
    <row r="26" ht="43.2" customHeight="1">
      <c r="A26" s="2" t="inlineStr">
        <is>
          <t>select_one q12</t>
        </is>
      </c>
      <c r="B26" s="2" t="inlineStr">
        <is>
          <t>q12</t>
        </is>
      </c>
      <c r="C26" s="2" t="inlineStr">
        <is>
          <t>១២. តើហេតុអ្វីបានជាត្រូវពិនិត្យ Lot Number និង Expiry Date របស់ RDT នៅពេល Field Supervision?</t>
        </is>
      </c>
      <c r="D26" s="2" t="inlineStr">
        <is>
          <t>yes</t>
        </is>
      </c>
      <c r="E26" s="2" t="n"/>
      <c r="F26" s="2" t="n"/>
      <c r="G26" s="2" t="n"/>
    </row>
    <row r="27" ht="43.2" customHeight="1">
      <c r="A27" s="2" t="inlineStr">
        <is>
          <t>select_one q13</t>
        </is>
      </c>
      <c r="B27" s="2" t="inlineStr">
        <is>
          <t>q13</t>
        </is>
      </c>
      <c r="C27" s="2" t="inlineStr">
        <is>
          <t>១៣. ប្រសិនបើអ្នកត្រួតពិនិត្យឃើញថា RDT ត្រូវបានរក្សាទុកក្រៅលក្ខខណ្ឌដែលក្រុមហ៊ុនផលិតបានកំណត់ តើគួរធ្វើអ្វី?</t>
        </is>
      </c>
      <c r="D27" s="2" t="inlineStr">
        <is>
          <t>yes</t>
        </is>
      </c>
      <c r="E27" s="2" t="n"/>
      <c r="F27" s="2" t="n"/>
      <c r="G27" s="2" t="n"/>
    </row>
    <row r="28" ht="43.2" customHeight="1">
      <c r="A28" s="2" t="inlineStr">
        <is>
          <t>select_one q14</t>
        </is>
      </c>
      <c r="B28" s="2" t="inlineStr">
        <is>
          <t>q14</t>
        </is>
      </c>
      <c r="C28" s="2" t="inlineStr">
        <is>
          <t>១៤. ក្នុងការត្រួតពិនិត្យគុណភាព RDT នៅវាល តើមួយណាជាចំណុចសំខាន់ក្នុងការសង្កេតការអនុវត្តរបស់បុគ្គលិក?</t>
        </is>
      </c>
      <c r="D28" s="2" t="inlineStr">
        <is>
          <t>yes</t>
        </is>
      </c>
      <c r="E28" s="2" t="n"/>
      <c r="F28" s="2" t="n"/>
      <c r="G28" s="2" t="n"/>
    </row>
    <row r="29" ht="21.6" customHeight="1">
      <c r="A29" s="2" t="inlineStr">
        <is>
          <t>select_one q15</t>
        </is>
      </c>
      <c r="B29" s="2" t="inlineStr">
        <is>
          <t>q15</t>
        </is>
      </c>
      <c r="C29" s="2" t="inlineStr">
        <is>
          <t>១៥. ប្រសិនបើ Field Supervisor រកឃើញភាពខុសប្រក្រតី ឬលទ្ធផល RDT មិនស្របគ្នា តើសកម្មភាព QA សមស្របបំផុតគឺអ្វី?</t>
        </is>
      </c>
      <c r="D29" s="2" t="inlineStr">
        <is>
          <t>yes</t>
        </is>
      </c>
      <c r="E29" s="2" t="n"/>
      <c r="F29" s="2" t="n"/>
      <c r="G29" s="2" t="n"/>
    </row>
    <row r="30" ht="21.6" customHeight="1">
      <c r="A30" s="2" t="inlineStr">
        <is>
          <t>calculate</t>
        </is>
      </c>
      <c r="B30" s="2" t="inlineStr">
        <is>
          <t>q1_pts</t>
        </is>
      </c>
      <c r="C30" s="2" t="n"/>
      <c r="D30" s="2" t="n"/>
      <c r="E30" s="2" t="inlineStr">
        <is>
          <t>if(${q1}='b',1,0)</t>
        </is>
      </c>
      <c r="F30" s="2" t="n"/>
      <c r="G30" s="2" t="n"/>
    </row>
    <row r="31" ht="21.6" customHeight="1">
      <c r="A31" s="2" t="inlineStr">
        <is>
          <t>calculate</t>
        </is>
      </c>
      <c r="B31" s="2" t="inlineStr">
        <is>
          <t>q2_pts</t>
        </is>
      </c>
      <c r="C31" s="2" t="n"/>
      <c r="D31" s="2" t="n"/>
      <c r="E31" s="2" t="inlineStr">
        <is>
          <t>if(${q2}='a',1,0)</t>
        </is>
      </c>
      <c r="F31" s="2" t="n"/>
      <c r="G31" s="2" t="n"/>
    </row>
    <row r="32" ht="21.6" customHeight="1">
      <c r="A32" s="2" t="inlineStr">
        <is>
          <t>calculate</t>
        </is>
      </c>
      <c r="B32" s="2" t="inlineStr">
        <is>
          <t>q3_pts</t>
        </is>
      </c>
      <c r="C32" s="2" t="n"/>
      <c r="D32" s="2" t="n"/>
      <c r="E32" s="2" t="inlineStr">
        <is>
          <t>if(${q3}='c',1,0)</t>
        </is>
      </c>
      <c r="F32" s="2" t="n"/>
      <c r="G32" s="2" t="n"/>
    </row>
    <row r="33" ht="21.6" customHeight="1">
      <c r="A33" s="2" t="inlineStr">
        <is>
          <t>calculate</t>
        </is>
      </c>
      <c r="B33" s="2" t="inlineStr">
        <is>
          <t>q4_pts</t>
        </is>
      </c>
      <c r="C33" s="2" t="n"/>
      <c r="D33" s="2" t="n"/>
      <c r="E33" s="2" t="inlineStr">
        <is>
          <t>if(${q4}='b',1,0)</t>
        </is>
      </c>
      <c r="F33" s="2" t="n"/>
      <c r="G33" s="2" t="n"/>
    </row>
    <row r="34" ht="21.6" customHeight="1">
      <c r="A34" s="2" t="inlineStr">
        <is>
          <t>calculate</t>
        </is>
      </c>
      <c r="B34" s="2" t="inlineStr">
        <is>
          <t>q5_pts</t>
        </is>
      </c>
      <c r="C34" s="2" t="n"/>
      <c r="D34" s="2" t="n"/>
      <c r="E34" s="2" t="inlineStr">
        <is>
          <t>if(${q5}='c',1,0)</t>
        </is>
      </c>
      <c r="F34" s="2" t="n"/>
      <c r="G34" s="2" t="n"/>
    </row>
    <row r="35" ht="21.6" customHeight="1">
      <c r="A35" s="2" t="inlineStr">
        <is>
          <t>calculate</t>
        </is>
      </c>
      <c r="B35" s="2" t="inlineStr">
        <is>
          <t>q6_pts</t>
        </is>
      </c>
      <c r="C35" s="2" t="n"/>
      <c r="D35" s="2" t="n"/>
      <c r="E35" s="2" t="inlineStr">
        <is>
          <t>if(${q6}='c',1,0)</t>
        </is>
      </c>
      <c r="F35" s="2" t="n"/>
      <c r="G35" s="2" t="n"/>
    </row>
    <row r="36" ht="21.6" customHeight="1">
      <c r="A36" s="2" t="inlineStr">
        <is>
          <t>calculate</t>
        </is>
      </c>
      <c r="B36" s="2" t="inlineStr">
        <is>
          <t>q7_pts</t>
        </is>
      </c>
      <c r="C36" s="2" t="n"/>
      <c r="D36" s="2" t="n"/>
      <c r="E36" s="2" t="inlineStr">
        <is>
          <t>if(${q7}='b',1,0)</t>
        </is>
      </c>
      <c r="F36" s="2" t="n"/>
      <c r="G36" s="2" t="n"/>
    </row>
    <row r="37" ht="21.6" customHeight="1">
      <c r="A37" s="2" t="inlineStr">
        <is>
          <t>calculate</t>
        </is>
      </c>
      <c r="B37" s="2" t="inlineStr">
        <is>
          <t>q8_pts</t>
        </is>
      </c>
      <c r="C37" s="2" t="n"/>
      <c r="D37" s="2" t="n"/>
      <c r="E37" s="2" t="inlineStr">
        <is>
          <t>if(${q8}='b',1,0)</t>
        </is>
      </c>
      <c r="F37" s="2" t="n"/>
      <c r="G37" s="2" t="n"/>
    </row>
    <row r="38" ht="21.6" customHeight="1">
      <c r="A38" s="2" t="inlineStr">
        <is>
          <t>calculate</t>
        </is>
      </c>
      <c r="B38" s="2" t="inlineStr">
        <is>
          <t>q9_pts</t>
        </is>
      </c>
      <c r="C38" s="2" t="n"/>
      <c r="D38" s="2" t="n"/>
      <c r="E38" s="2" t="inlineStr">
        <is>
          <t>if(${q9}='b',1,0)</t>
        </is>
      </c>
      <c r="F38" s="2" t="n"/>
      <c r="G38" s="2" t="n"/>
    </row>
    <row r="39" ht="21.6" customHeight="1">
      <c r="A39" s="2" t="inlineStr">
        <is>
          <t>calculate</t>
        </is>
      </c>
      <c r="B39" s="2" t="inlineStr">
        <is>
          <t>q10_pts</t>
        </is>
      </c>
      <c r="C39" s="2" t="n"/>
      <c r="D39" s="2" t="n"/>
      <c r="E39" s="2" t="inlineStr">
        <is>
          <t>if(${q10}='a',1,0)</t>
        </is>
      </c>
      <c r="F39" s="2" t="n"/>
      <c r="G39" s="2" t="n"/>
    </row>
    <row r="40" ht="21.6" customHeight="1">
      <c r="A40" s="2" t="inlineStr">
        <is>
          <t>calculate</t>
        </is>
      </c>
      <c r="B40" s="2" t="inlineStr">
        <is>
          <t>q11_pts</t>
        </is>
      </c>
      <c r="C40" s="2" t="n"/>
      <c r="D40" s="2" t="n"/>
      <c r="E40" s="2" t="inlineStr">
        <is>
          <t>if(${q11}='b',1,0)</t>
        </is>
      </c>
      <c r="F40" s="2" t="n"/>
      <c r="G40" s="2" t="n"/>
    </row>
    <row r="41" ht="21.6" customHeight="1">
      <c r="A41" s="2" t="inlineStr">
        <is>
          <t>calculate</t>
        </is>
      </c>
      <c r="B41" s="2" t="inlineStr">
        <is>
          <t>q12_pts</t>
        </is>
      </c>
      <c r="C41" s="2" t="n"/>
      <c r="D41" s="2" t="n"/>
      <c r="E41" s="2" t="inlineStr">
        <is>
          <t>if(${q12}='b',1,0)</t>
        </is>
      </c>
      <c r="F41" s="2" t="n"/>
      <c r="G41" s="2" t="n"/>
    </row>
    <row r="42" ht="21.6" customHeight="1">
      <c r="A42" s="2" t="inlineStr">
        <is>
          <t>calculate</t>
        </is>
      </c>
      <c r="B42" s="2" t="inlineStr">
        <is>
          <t>q13_pts</t>
        </is>
      </c>
      <c r="C42" s="2" t="n"/>
      <c r="D42" s="2" t="n"/>
      <c r="E42" s="2" t="inlineStr">
        <is>
          <t>if(${q13}='c',1,0)</t>
        </is>
      </c>
      <c r="F42" s="2" t="n"/>
      <c r="G42" s="2" t="n"/>
    </row>
    <row r="43" ht="21.6" customHeight="1">
      <c r="A43" s="2" t="inlineStr">
        <is>
          <t>calculate</t>
        </is>
      </c>
      <c r="B43" s="2" t="inlineStr">
        <is>
          <t>q14_pts</t>
        </is>
      </c>
      <c r="C43" s="2" t="n"/>
      <c r="D43" s="2" t="n"/>
      <c r="E43" s="2" t="inlineStr">
        <is>
          <t>if(${q14}='a',1,0)</t>
        </is>
      </c>
      <c r="F43" s="2" t="n"/>
      <c r="G43" s="2" t="n"/>
    </row>
    <row r="44" ht="86.40000000000001" customHeight="1">
      <c r="A44" s="2" t="inlineStr">
        <is>
          <t>calculate</t>
        </is>
      </c>
      <c r="B44" s="2" t="inlineStr">
        <is>
          <t>q15_pts</t>
        </is>
      </c>
      <c r="C44" s="2" t="n"/>
      <c r="D44" s="2" t="n"/>
      <c r="E44" s="2" t="inlineStr">
        <is>
          <t>if(${q15}='b',1,0)</t>
        </is>
      </c>
      <c r="F44" s="2" t="n"/>
      <c r="G44" s="2" t="n"/>
    </row>
    <row r="45" ht="21.6" customHeight="1">
      <c r="A45" s="2" t="inlineStr">
        <is>
          <t>calculate</t>
        </is>
      </c>
      <c r="B45" s="2" t="inlineStr">
        <is>
          <t>total_raw</t>
        </is>
      </c>
      <c r="C45" s="2" t="n"/>
      <c r="D45" s="2" t="n"/>
      <c r="E45" s="2" t="inlineStr">
        <is>
          <t>${q1_pts}+${q2_pts}+${q3_pts}+${q4_pts}+${q5_pts}+${q6_pts}+${q7_pts}+${q8_pts}+${q9_pts}+${q10_pts}+${q11_pts}+${q12_pts}+${q13_pts}+${q14_pts}+${q15_pts}</t>
        </is>
      </c>
      <c r="F45" s="2" t="n"/>
      <c r="G45" s="2" t="n"/>
    </row>
    <row r="46" ht="21.6" customHeight="1">
      <c r="A46" s="2" t="inlineStr">
        <is>
          <t>calculate</t>
        </is>
      </c>
      <c r="B46" s="2" t="inlineStr">
        <is>
          <t>total_100</t>
        </is>
      </c>
      <c r="C46" s="2" t="n"/>
      <c r="D46" s="2" t="n"/>
      <c r="E46" s="2" t="inlineStr">
        <is>
          <t>(${total_raw} div 15) * 100</t>
        </is>
      </c>
      <c r="F46" s="2" t="n"/>
      <c r="G46" s="2" t="n"/>
    </row>
    <row r="47" ht="21.6" customHeight="1">
      <c r="A47" s="2" t="inlineStr">
        <is>
          <t>calculate</t>
        </is>
      </c>
      <c r="B47" s="2" t="inlineStr">
        <is>
          <t>num_correct</t>
        </is>
      </c>
      <c r="C47" s="2" t="n"/>
      <c r="D47" s="2" t="n"/>
      <c r="E47" s="2" t="inlineStr">
        <is>
          <t>${total_raw}</t>
        </is>
      </c>
      <c r="F47" s="2" t="n"/>
      <c r="G47" s="2" t="n"/>
    </row>
    <row r="48" ht="21.6" customHeight="1">
      <c r="A48" s="2" t="inlineStr">
        <is>
          <t>calculate</t>
        </is>
      </c>
      <c r="B48" s="2" t="inlineStr">
        <is>
          <t>num_incorrect</t>
        </is>
      </c>
      <c r="C48" s="2" t="n"/>
      <c r="D48" s="2" t="n"/>
      <c r="E48" s="2" t="inlineStr">
        <is>
          <t>15 - ${total_raw}</t>
        </is>
      </c>
      <c r="F48" s="2" t="n"/>
      <c r="G48" s="2" t="n"/>
    </row>
    <row r="49">
      <c r="A49" s="2" t="inlineStr">
        <is>
          <t>calculate</t>
        </is>
      </c>
      <c r="B49" s="2" t="inlineStr">
        <is>
          <t>result_label</t>
        </is>
      </c>
      <c r="C49" s="2" t="n"/>
      <c r="D49" s="2" t="n"/>
      <c r="E49" s="2" t="inlineStr">
        <is>
          <t>if(${total_100} &gt;= 80, 'ជាប់', 'ត្រូវពិនិត្យបន្ថែម')</t>
        </is>
      </c>
      <c r="F49" s="2" t="n"/>
      <c r="G4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E202"/>
  <sheetViews>
    <sheetView tabSelected="1" workbookViewId="0">
      <pane ySplit="1" topLeftCell="A122" activePane="bottomLeft" state="frozen"/>
      <selection pane="bottomLeft" activeCell="B8" sqref="B8:B140"/>
    </sheetView>
  </sheetViews>
  <sheetFormatPr baseColWidth="8" defaultRowHeight="14.4"/>
  <cols>
    <col width="14" customWidth="1" min="1" max="1"/>
    <col width="12" customWidth="1" min="2" max="2"/>
    <col width="45" customWidth="1" min="3" max="3"/>
    <col width="12" customWidth="1" min="4" max="5"/>
  </cols>
  <sheetData>
    <row r="1" ht="21.6" customHeight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province_id</t>
        </is>
      </c>
      <c r="E1" s="1" t="inlineStr">
        <is>
          <t>od_id</t>
        </is>
      </c>
    </row>
    <row r="2" ht="21.6" customHeight="1">
      <c r="A2" s="2" t="inlineStr">
        <is>
          <t>test_type</t>
        </is>
      </c>
      <c r="B2" s="2" t="inlineStr">
        <is>
          <t>pre</t>
        </is>
      </c>
      <c r="C2" s="2" t="inlineStr">
        <is>
          <t>តេស្តមុនការបណ្ដុះបណ្ដាល</t>
        </is>
      </c>
      <c r="D2" s="2" t="n"/>
      <c r="E2" s="2" t="n"/>
    </row>
    <row r="3" ht="21.6" customHeight="1">
      <c r="A3" s="2" t="inlineStr">
        <is>
          <t>test_type</t>
        </is>
      </c>
      <c r="B3" s="2" t="inlineStr">
        <is>
          <t>pos</t>
        </is>
      </c>
      <c r="C3" s="2" t="inlineStr">
        <is>
          <t>តេស្តក្រោយការបណ្ដុះបណ្ដាល</t>
        </is>
      </c>
      <c r="D3" s="2" t="n"/>
      <c r="E3" s="2" t="n"/>
    </row>
    <row r="4" ht="21.6" customHeight="1">
      <c r="A4" s="2" t="inlineStr">
        <is>
          <t>position</t>
        </is>
      </c>
      <c r="B4" s="2" t="inlineStr">
        <is>
          <t>pms</t>
        </is>
      </c>
      <c r="C4" s="2" t="inlineStr">
        <is>
          <t>PMS (Provincial Malaria Supervisor)</t>
        </is>
      </c>
      <c r="D4" s="2" t="n"/>
      <c r="E4" s="2" t="n"/>
    </row>
    <row r="5" ht="21.6" customHeight="1">
      <c r="A5" s="2" t="inlineStr">
        <is>
          <t>position</t>
        </is>
      </c>
      <c r="B5" s="2" t="inlineStr">
        <is>
          <t>odms</t>
        </is>
      </c>
      <c r="C5" s="2" t="inlineStr">
        <is>
          <t>ODMS (Operational District Malaria Supervisor)</t>
        </is>
      </c>
      <c r="D5" s="2" t="n"/>
      <c r="E5" s="2" t="n"/>
    </row>
    <row r="6" ht="21.6" customHeight="1">
      <c r="A6" s="2" t="inlineStr">
        <is>
          <t>position</t>
        </is>
      </c>
      <c r="B6" s="2" t="inlineStr">
        <is>
          <t>hc</t>
        </is>
      </c>
      <c r="C6" s="2" t="inlineStr">
        <is>
          <t>HC (Health Center Staff)</t>
        </is>
      </c>
      <c r="D6" s="2" t="n"/>
      <c r="E6" s="2" t="n"/>
    </row>
    <row r="7" hidden="1">
      <c r="A7" t="inlineStr">
        <is>
          <t>position</t>
        </is>
      </c>
      <c r="B7" t="inlineStr">
        <is>
          <t>ngo</t>
        </is>
      </c>
      <c r="C7" t="inlineStr">
        <is>
          <t>NGO / Partner</t>
        </is>
      </c>
    </row>
    <row r="8" ht="21.6" customHeight="1">
      <c r="A8" t="inlineStr">
        <is>
          <t>position</t>
        </is>
      </c>
      <c r="B8" t="inlineStr">
        <is>
          <t>other</t>
        </is>
      </c>
      <c r="C8" t="inlineStr">
        <is>
          <t>ផ្សេងទៀត</t>
        </is>
      </c>
    </row>
    <row r="9" ht="21.6" customHeight="1">
      <c r="A9" s="2" t="inlineStr">
        <is>
          <t>province</t>
        </is>
      </c>
      <c r="B9" s="2" t="inlineStr">
        <is>
          <t>prov_1</t>
        </is>
      </c>
      <c r="C9" s="2" t="inlineStr">
        <is>
          <t>ស្ទឹងត្រែង</t>
        </is>
      </c>
      <c r="D9" s="2" t="n"/>
      <c r="E9" s="2" t="n"/>
    </row>
    <row r="10" ht="21.6" customHeight="1">
      <c r="A10" s="2" t="inlineStr">
        <is>
          <t>province</t>
        </is>
      </c>
      <c r="B10" s="2" t="inlineStr">
        <is>
          <t>prov_2</t>
        </is>
      </c>
      <c r="C10" s="2" t="inlineStr">
        <is>
          <t>ព្រះវិហារ</t>
        </is>
      </c>
      <c r="D10" s="2" t="n"/>
      <c r="E10" s="2" t="n"/>
    </row>
    <row r="11" ht="21.6" customHeight="1">
      <c r="A11" s="2" t="inlineStr">
        <is>
          <t>province</t>
        </is>
      </c>
      <c r="B11" s="2" t="inlineStr">
        <is>
          <t>prov_3</t>
        </is>
      </c>
      <c r="C11" s="2" t="inlineStr">
        <is>
          <t>សៀមរាប</t>
        </is>
      </c>
      <c r="D11" s="2" t="n"/>
      <c r="E11" s="2" t="n"/>
    </row>
    <row r="12" ht="21.6" customHeight="1">
      <c r="A12" s="2" t="inlineStr">
        <is>
          <t>province</t>
        </is>
      </c>
      <c r="B12" s="2" t="inlineStr">
        <is>
          <t>prov_4</t>
        </is>
      </c>
      <c r="C12" s="2" t="inlineStr">
        <is>
          <t>ឧត្តរមានជ័យ</t>
        </is>
      </c>
      <c r="D12" s="2" t="n"/>
      <c r="E12" s="2" t="n"/>
    </row>
    <row r="13" ht="21.6" customHeight="1">
      <c r="A13" s="2" t="inlineStr">
        <is>
          <t>province</t>
        </is>
      </c>
      <c r="B13" s="2" t="inlineStr">
        <is>
          <t>prov_5</t>
        </is>
      </c>
      <c r="C13" s="2" t="inlineStr">
        <is>
          <t>បន្ទាយមានជ័យ</t>
        </is>
      </c>
      <c r="D13" s="2" t="n"/>
      <c r="E13" s="2" t="n"/>
    </row>
    <row r="14" hidden="1">
      <c r="A14" s="2" t="inlineStr">
        <is>
          <t>province</t>
        </is>
      </c>
      <c r="B14" s="2" t="inlineStr">
        <is>
          <t>prov_6</t>
        </is>
      </c>
      <c r="C14" s="2" t="inlineStr">
        <is>
          <t>កំពង់ស្ពឺ</t>
        </is>
      </c>
      <c r="D14" s="2" t="n"/>
      <c r="E14" s="2" t="n"/>
    </row>
    <row r="15" ht="21.6" customHeight="1">
      <c r="A15" t="inlineStr">
        <is>
          <t>province</t>
        </is>
      </c>
      <c r="B15" t="inlineStr">
        <is>
          <t>other</t>
        </is>
      </c>
      <c r="C15" t="inlineStr">
        <is>
          <t>ផ្សេងទៀត</t>
        </is>
      </c>
    </row>
    <row r="16" ht="21.6" customHeight="1">
      <c r="A16" s="2" t="inlineStr">
        <is>
          <t>od</t>
        </is>
      </c>
      <c r="B16" s="2" t="inlineStr">
        <is>
          <t>od_1</t>
        </is>
      </c>
      <c r="C16" s="2" t="inlineStr">
        <is>
          <t>ស្ទឹងត្រែង</t>
        </is>
      </c>
      <c r="D16" s="2" t="inlineStr">
        <is>
          <t>prov_1</t>
        </is>
      </c>
      <c r="E16" s="2" t="n"/>
    </row>
    <row r="17" ht="21.6" customHeight="1">
      <c r="A17" s="2" t="inlineStr">
        <is>
          <t>od</t>
        </is>
      </c>
      <c r="B17" s="2" t="inlineStr">
        <is>
          <t>od_2</t>
        </is>
      </c>
      <c r="C17" s="2" t="inlineStr">
        <is>
          <t>ត្បែងមានជ័យ</t>
        </is>
      </c>
      <c r="D17" s="2" t="inlineStr">
        <is>
          <t>prov_2</t>
        </is>
      </c>
      <c r="E17" s="2" t="n"/>
    </row>
    <row r="18" ht="21.6" customHeight="1">
      <c r="A18" s="2" t="inlineStr">
        <is>
          <t>od</t>
        </is>
      </c>
      <c r="B18" s="2" t="inlineStr">
        <is>
          <t>od_3</t>
        </is>
      </c>
      <c r="C18" s="2" t="inlineStr">
        <is>
          <t>អង្គរជុំ</t>
        </is>
      </c>
      <c r="D18" s="2" t="inlineStr">
        <is>
          <t>prov_3</t>
        </is>
      </c>
      <c r="E18" s="2" t="n"/>
    </row>
    <row r="19" ht="21.6" customHeight="1">
      <c r="A19" s="2" t="inlineStr">
        <is>
          <t>od</t>
        </is>
      </c>
      <c r="B19" s="2" t="inlineStr">
        <is>
          <t>od_4</t>
        </is>
      </c>
      <c r="C19" s="2" t="inlineStr">
        <is>
          <t>ក្រឡាញ់</t>
        </is>
      </c>
      <c r="D19" s="2" t="inlineStr">
        <is>
          <t>prov_3</t>
        </is>
      </c>
      <c r="E19" s="2" t="n"/>
    </row>
    <row r="20" ht="21.6" customHeight="1">
      <c r="A20" s="2" t="inlineStr">
        <is>
          <t>od</t>
        </is>
      </c>
      <c r="B20" s="2" t="inlineStr">
        <is>
          <t>od_5</t>
        </is>
      </c>
      <c r="C20" s="2" t="inlineStr">
        <is>
          <t>សៀមរាប</t>
        </is>
      </c>
      <c r="D20" s="2" t="inlineStr">
        <is>
          <t>prov_3</t>
        </is>
      </c>
      <c r="E20" s="2" t="n"/>
    </row>
    <row r="21" ht="21.6" customHeight="1">
      <c r="A21" s="2" t="inlineStr">
        <is>
          <t>od</t>
        </is>
      </c>
      <c r="B21" s="2" t="inlineStr">
        <is>
          <t>od_6</t>
        </is>
      </c>
      <c r="C21" s="2" t="inlineStr">
        <is>
          <t>សូទ្រនិគម</t>
        </is>
      </c>
      <c r="D21" s="2" t="inlineStr">
        <is>
          <t>prov_3</t>
        </is>
      </c>
      <c r="E21" s="2" t="n"/>
    </row>
    <row r="22" ht="21.6" customHeight="1">
      <c r="A22" s="2" t="inlineStr">
        <is>
          <t>od</t>
        </is>
      </c>
      <c r="B22" s="2" t="inlineStr">
        <is>
          <t>od_7</t>
        </is>
      </c>
      <c r="C22" s="2" t="inlineStr">
        <is>
          <t>អន្លង់វែង</t>
        </is>
      </c>
      <c r="D22" s="2" t="inlineStr">
        <is>
          <t>prov_4</t>
        </is>
      </c>
      <c r="E22" s="2" t="n"/>
    </row>
    <row r="23" ht="21.6" customHeight="1">
      <c r="A23" s="2" t="inlineStr">
        <is>
          <t>od</t>
        </is>
      </c>
      <c r="B23" s="2" t="inlineStr">
        <is>
          <t>od_8</t>
        </is>
      </c>
      <c r="C23" s="2" t="inlineStr">
        <is>
          <t>សំរោង</t>
        </is>
      </c>
      <c r="D23" s="2" t="inlineStr">
        <is>
          <t>prov_4</t>
        </is>
      </c>
      <c r="E23" s="2" t="n"/>
    </row>
    <row r="24" ht="21.6" customHeight="1">
      <c r="A24" s="2" t="inlineStr">
        <is>
          <t>od</t>
        </is>
      </c>
      <c r="B24" s="2" t="inlineStr">
        <is>
          <t>od_9</t>
        </is>
      </c>
      <c r="C24" s="2" t="inlineStr">
        <is>
          <t>ម៉ាឡៃ</t>
        </is>
      </c>
      <c r="D24" s="2" t="inlineStr">
        <is>
          <t>prov_5</t>
        </is>
      </c>
      <c r="E24" s="2" t="n"/>
    </row>
    <row r="25" ht="21.6" customHeight="1">
      <c r="A25" s="2" t="inlineStr">
        <is>
          <t>od</t>
        </is>
      </c>
      <c r="B25" s="2" t="inlineStr">
        <is>
          <t>od_10</t>
        </is>
      </c>
      <c r="C25" s="2" t="inlineStr">
        <is>
          <t>ប៉ោយប៉ែត</t>
        </is>
      </c>
      <c r="D25" s="2" t="inlineStr">
        <is>
          <t>prov_5</t>
        </is>
      </c>
      <c r="E25" s="2" t="n"/>
    </row>
    <row r="26" ht="21.6" customHeight="1">
      <c r="A26" s="2" t="inlineStr">
        <is>
          <t>od</t>
        </is>
      </c>
      <c r="B26" s="2" t="inlineStr">
        <is>
          <t>od_11</t>
        </is>
      </c>
      <c r="C26" s="2" t="inlineStr">
        <is>
          <t>ព្រះនេត្រព្រះ</t>
        </is>
      </c>
      <c r="D26" s="2" t="inlineStr">
        <is>
          <t>prov_5</t>
        </is>
      </c>
      <c r="E26" s="2" t="n"/>
    </row>
    <row r="27" ht="21.6" customHeight="1">
      <c r="A27" s="2" t="inlineStr">
        <is>
          <t>od</t>
        </is>
      </c>
      <c r="B27" s="2" t="inlineStr">
        <is>
          <t>od_12</t>
        </is>
      </c>
      <c r="C27" s="2" t="inlineStr">
        <is>
          <t>ថ្មពួក</t>
        </is>
      </c>
      <c r="D27" s="2" t="inlineStr">
        <is>
          <t>prov_5</t>
        </is>
      </c>
      <c r="E27" s="2" t="n"/>
    </row>
    <row r="28" ht="21.6" customHeight="1">
      <c r="A28" s="2" t="inlineStr">
        <is>
          <t>od</t>
        </is>
      </c>
      <c r="B28" s="2" t="inlineStr">
        <is>
          <t>od_13</t>
        </is>
      </c>
      <c r="C28" s="2" t="inlineStr">
        <is>
          <t>កំពង់ស្ពឺ</t>
        </is>
      </c>
      <c r="D28" s="2" t="inlineStr">
        <is>
          <t>prov_6</t>
        </is>
      </c>
      <c r="E28" s="2" t="n"/>
    </row>
    <row r="29" ht="21.6" customHeight="1">
      <c r="A29" s="2" t="inlineStr">
        <is>
          <t>od</t>
        </is>
      </c>
      <c r="B29" s="2" t="inlineStr">
        <is>
          <t>od_14</t>
        </is>
      </c>
      <c r="C29" s="2" t="inlineStr">
        <is>
          <t>គងពិសី</t>
        </is>
      </c>
      <c r="D29" s="2" t="inlineStr">
        <is>
          <t>prov_6</t>
        </is>
      </c>
      <c r="E29" s="2" t="n"/>
    </row>
    <row r="30" ht="21.6" customHeight="1">
      <c r="A30" s="2" t="inlineStr">
        <is>
          <t>od</t>
        </is>
      </c>
      <c r="B30" s="2" t="inlineStr">
        <is>
          <t>od_15</t>
        </is>
      </c>
      <c r="C30" s="2" t="inlineStr">
        <is>
          <t>ឧដ្តុង</t>
        </is>
      </c>
      <c r="D30" s="2" t="inlineStr">
        <is>
          <t>prov_6</t>
        </is>
      </c>
      <c r="E30" s="2" t="n"/>
    </row>
    <row r="31" hidden="1">
      <c r="A31" s="2" t="inlineStr">
        <is>
          <t>od</t>
        </is>
      </c>
      <c r="B31" s="2" t="inlineStr">
        <is>
          <t>od_16</t>
        </is>
      </c>
      <c r="C31" s="2" t="inlineStr">
        <is>
          <t>ភ្នំស្រួច</t>
        </is>
      </c>
      <c r="D31" s="2" t="inlineStr">
        <is>
          <t>prov_6</t>
        </is>
      </c>
      <c r="E31" s="2" t="n"/>
    </row>
    <row r="32" ht="21.6" customHeight="1">
      <c r="A32" t="inlineStr">
        <is>
          <t>od</t>
        </is>
      </c>
      <c r="B32" t="inlineStr">
        <is>
          <t>other</t>
        </is>
      </c>
      <c r="C32" t="inlineStr">
        <is>
          <t>ផ្សេងទៀត</t>
        </is>
      </c>
    </row>
    <row r="33" ht="21.6" customHeight="1">
      <c r="A33" s="2" t="inlineStr">
        <is>
          <t>hc</t>
        </is>
      </c>
      <c r="B33" s="2" t="inlineStr">
        <is>
          <t>hc_1</t>
        </is>
      </c>
      <c r="C33" s="2" t="inlineStr">
        <is>
          <t>Chamkar Leu</t>
        </is>
      </c>
      <c r="D33" s="2" t="n"/>
      <c r="E33" s="2" t="inlineStr">
        <is>
          <t>od_1</t>
        </is>
      </c>
    </row>
    <row r="34" ht="21.6" customHeight="1">
      <c r="A34" s="2" t="inlineStr">
        <is>
          <t>hc</t>
        </is>
      </c>
      <c r="B34" s="2" t="inlineStr">
        <is>
          <t>hc_2</t>
        </is>
      </c>
      <c r="C34" s="2" t="inlineStr">
        <is>
          <t>Kamphun</t>
        </is>
      </c>
      <c r="D34" s="2" t="n"/>
      <c r="E34" s="2" t="inlineStr">
        <is>
          <t>od_1</t>
        </is>
      </c>
    </row>
    <row r="35" ht="21.6" customHeight="1">
      <c r="A35" s="2" t="inlineStr">
        <is>
          <t>hc</t>
        </is>
      </c>
      <c r="B35" s="2" t="inlineStr">
        <is>
          <t>hc_3</t>
        </is>
      </c>
      <c r="C35" s="2" t="inlineStr">
        <is>
          <t>Kbal Romeas</t>
        </is>
      </c>
      <c r="D35" s="2" t="n"/>
      <c r="E35" s="2" t="inlineStr">
        <is>
          <t>od_1</t>
        </is>
      </c>
    </row>
    <row r="36" ht="21.6" customHeight="1">
      <c r="A36" s="2" t="inlineStr">
        <is>
          <t>hc</t>
        </is>
      </c>
      <c r="B36" s="2" t="inlineStr">
        <is>
          <t>hc_4</t>
        </is>
      </c>
      <c r="C36" s="2" t="inlineStr">
        <is>
          <t>Koh Sralay</t>
        </is>
      </c>
      <c r="D36" s="2" t="n"/>
      <c r="E36" s="2" t="inlineStr">
        <is>
          <t>od_1</t>
        </is>
      </c>
    </row>
    <row r="37" ht="21.6" customHeight="1">
      <c r="A37" s="2" t="inlineStr">
        <is>
          <t>hc</t>
        </is>
      </c>
      <c r="B37" s="2" t="inlineStr">
        <is>
          <t>hc_5</t>
        </is>
      </c>
      <c r="C37" s="2" t="inlineStr">
        <is>
          <t>Ou Svay</t>
        </is>
      </c>
      <c r="D37" s="2" t="n"/>
      <c r="E37" s="2" t="inlineStr">
        <is>
          <t>od_1</t>
        </is>
      </c>
    </row>
    <row r="38" ht="21.6" customHeight="1">
      <c r="A38" s="2" t="inlineStr">
        <is>
          <t>hc</t>
        </is>
      </c>
      <c r="B38" s="2" t="inlineStr">
        <is>
          <t>hc_6</t>
        </is>
      </c>
      <c r="C38" s="2" t="inlineStr">
        <is>
          <t>Preah Rumkel</t>
        </is>
      </c>
      <c r="D38" s="2" t="n"/>
      <c r="E38" s="2" t="inlineStr">
        <is>
          <t>od_1</t>
        </is>
      </c>
    </row>
    <row r="39" ht="21.6" customHeight="1">
      <c r="A39" s="2" t="inlineStr">
        <is>
          <t>hc</t>
        </is>
      </c>
      <c r="B39" s="2" t="inlineStr">
        <is>
          <t>hc_7</t>
        </is>
      </c>
      <c r="C39" s="2" t="inlineStr">
        <is>
          <t>Prek Meas</t>
        </is>
      </c>
      <c r="D39" s="2" t="n"/>
      <c r="E39" s="2" t="inlineStr">
        <is>
          <t>od_1</t>
        </is>
      </c>
    </row>
    <row r="40" ht="21.6" customHeight="1">
      <c r="A40" s="2" t="inlineStr">
        <is>
          <t>hc</t>
        </is>
      </c>
      <c r="B40" s="2" t="inlineStr">
        <is>
          <t>hc_8</t>
        </is>
      </c>
      <c r="C40" s="2" t="inlineStr">
        <is>
          <t>Samaki</t>
        </is>
      </c>
      <c r="D40" s="2" t="n"/>
      <c r="E40" s="2" t="inlineStr">
        <is>
          <t>od_1</t>
        </is>
      </c>
    </row>
    <row r="41" ht="21.6" customHeight="1">
      <c r="A41" s="2" t="inlineStr">
        <is>
          <t>hc</t>
        </is>
      </c>
      <c r="B41" s="2" t="inlineStr">
        <is>
          <t>hc_9</t>
        </is>
      </c>
      <c r="C41" s="2" t="inlineStr">
        <is>
          <t>Santepheap</t>
        </is>
      </c>
      <c r="D41" s="2" t="n"/>
      <c r="E41" s="2" t="inlineStr">
        <is>
          <t>od_1</t>
        </is>
      </c>
    </row>
    <row r="42" ht="21.6" customHeight="1">
      <c r="A42" s="2" t="inlineStr">
        <is>
          <t>hc</t>
        </is>
      </c>
      <c r="B42" s="2" t="inlineStr">
        <is>
          <t>hc_10</t>
        </is>
      </c>
      <c r="C42" s="2" t="inlineStr">
        <is>
          <t>Siem Bouk</t>
        </is>
      </c>
      <c r="D42" s="2" t="n"/>
      <c r="E42" s="2" t="inlineStr">
        <is>
          <t>od_1</t>
        </is>
      </c>
    </row>
    <row r="43" ht="21.6" customHeight="1">
      <c r="A43" s="2" t="inlineStr">
        <is>
          <t>hc</t>
        </is>
      </c>
      <c r="B43" s="2" t="inlineStr">
        <is>
          <t>hc_11</t>
        </is>
      </c>
      <c r="C43" s="2" t="inlineStr">
        <is>
          <t>Siem Pang</t>
        </is>
      </c>
      <c r="D43" s="2" t="n"/>
      <c r="E43" s="2" t="inlineStr">
        <is>
          <t>od_1</t>
        </is>
      </c>
    </row>
    <row r="44" ht="21.6" customHeight="1">
      <c r="A44" s="2" t="inlineStr">
        <is>
          <t>hc</t>
        </is>
      </c>
      <c r="B44" s="2" t="inlineStr">
        <is>
          <t>hc_12</t>
        </is>
      </c>
      <c r="C44" s="2" t="inlineStr">
        <is>
          <t>Sre Krasaing</t>
        </is>
      </c>
      <c r="D44" s="2" t="n"/>
      <c r="E44" s="2" t="inlineStr">
        <is>
          <t>od_1</t>
        </is>
      </c>
    </row>
    <row r="45" ht="21.6" customHeight="1">
      <c r="A45" s="2" t="inlineStr">
        <is>
          <t>hc</t>
        </is>
      </c>
      <c r="B45" s="2" t="inlineStr">
        <is>
          <t>hc_13</t>
        </is>
      </c>
      <c r="C45" s="2" t="inlineStr">
        <is>
          <t>Sre Sambo</t>
        </is>
      </c>
      <c r="D45" s="2" t="n"/>
      <c r="E45" s="2" t="inlineStr">
        <is>
          <t>od_1</t>
        </is>
      </c>
    </row>
    <row r="46" ht="21.6" customHeight="1">
      <c r="A46" s="2" t="inlineStr">
        <is>
          <t>hc</t>
        </is>
      </c>
      <c r="B46" s="2" t="inlineStr">
        <is>
          <t>hc_14</t>
        </is>
      </c>
      <c r="C46" s="2" t="inlineStr">
        <is>
          <t>Stung Treng</t>
        </is>
      </c>
      <c r="D46" s="2" t="n"/>
      <c r="E46" s="2" t="inlineStr">
        <is>
          <t>od_1</t>
        </is>
      </c>
    </row>
    <row r="47" ht="21.6" customHeight="1">
      <c r="A47" s="2" t="inlineStr">
        <is>
          <t>hc</t>
        </is>
      </c>
      <c r="B47" s="2" t="inlineStr">
        <is>
          <t>hc_15</t>
        </is>
      </c>
      <c r="C47" s="2" t="inlineStr">
        <is>
          <t>Ta Lat</t>
        </is>
      </c>
      <c r="D47" s="2" t="n"/>
      <c r="E47" s="2" t="inlineStr">
        <is>
          <t>od_1</t>
        </is>
      </c>
    </row>
    <row r="48" ht="21.6" customHeight="1">
      <c r="A48" s="2" t="inlineStr">
        <is>
          <t>hc</t>
        </is>
      </c>
      <c r="B48" s="2" t="inlineStr">
        <is>
          <t>hc_16</t>
        </is>
      </c>
      <c r="C48" s="2" t="inlineStr">
        <is>
          <t>Tboung khla</t>
        </is>
      </c>
      <c r="D48" s="2" t="n"/>
      <c r="E48" s="2" t="inlineStr">
        <is>
          <t>od_1</t>
        </is>
      </c>
    </row>
    <row r="49" ht="21.6" customHeight="1">
      <c r="A49" s="2" t="inlineStr">
        <is>
          <t>hc</t>
        </is>
      </c>
      <c r="B49" s="2" t="inlineStr">
        <is>
          <t>hc_17</t>
        </is>
      </c>
      <c r="C49" s="2" t="inlineStr">
        <is>
          <t>Thalaborivat</t>
        </is>
      </c>
      <c r="D49" s="2" t="n"/>
      <c r="E49" s="2" t="inlineStr">
        <is>
          <t>od_1</t>
        </is>
      </c>
    </row>
    <row r="50" ht="21.6" customHeight="1">
      <c r="A50" s="2" t="inlineStr">
        <is>
          <t>hc</t>
        </is>
      </c>
      <c r="B50" s="2" t="inlineStr">
        <is>
          <t>hc_18</t>
        </is>
      </c>
      <c r="C50" s="2" t="inlineStr">
        <is>
          <t>Veal Denh</t>
        </is>
      </c>
      <c r="D50" s="2" t="n"/>
      <c r="E50" s="2" t="inlineStr">
        <is>
          <t>od_1</t>
        </is>
      </c>
    </row>
    <row r="51" ht="21.6" customHeight="1">
      <c r="A51" s="2" t="inlineStr">
        <is>
          <t>hc</t>
        </is>
      </c>
      <c r="B51" s="2" t="inlineStr">
        <is>
          <t>hc_19</t>
        </is>
      </c>
      <c r="C51" s="2" t="inlineStr">
        <is>
          <t>Chamreun</t>
        </is>
      </c>
      <c r="D51" s="2" t="n"/>
      <c r="E51" s="2" t="inlineStr">
        <is>
          <t>od_2</t>
        </is>
      </c>
    </row>
    <row r="52" ht="21.6" customHeight="1">
      <c r="A52" s="2" t="inlineStr">
        <is>
          <t>hc</t>
        </is>
      </c>
      <c r="B52" s="2" t="inlineStr">
        <is>
          <t>hc_20</t>
        </is>
      </c>
      <c r="C52" s="2" t="inlineStr">
        <is>
          <t>Chheb</t>
        </is>
      </c>
      <c r="D52" s="2" t="n"/>
      <c r="E52" s="2" t="inlineStr">
        <is>
          <t>od_2</t>
        </is>
      </c>
    </row>
    <row r="53" ht="21.6" customHeight="1">
      <c r="A53" s="2" t="inlineStr">
        <is>
          <t>hc</t>
        </is>
      </c>
      <c r="B53" s="2" t="inlineStr">
        <is>
          <t>hc_21</t>
        </is>
      </c>
      <c r="C53" s="2" t="inlineStr">
        <is>
          <t>Chheu Teal Korng</t>
        </is>
      </c>
      <c r="D53" s="2" t="n"/>
      <c r="E53" s="2" t="inlineStr">
        <is>
          <t>od_2</t>
        </is>
      </c>
    </row>
    <row r="54" ht="21.6" customHeight="1">
      <c r="A54" s="2" t="inlineStr">
        <is>
          <t>hc</t>
        </is>
      </c>
      <c r="B54" s="2" t="inlineStr">
        <is>
          <t>hc_22</t>
        </is>
      </c>
      <c r="C54" s="2" t="inlineStr">
        <is>
          <t>Chhoun</t>
        </is>
      </c>
      <c r="D54" s="2" t="n"/>
      <c r="E54" s="2" t="inlineStr">
        <is>
          <t>od_2</t>
        </is>
      </c>
    </row>
    <row r="55" ht="21.6" customHeight="1">
      <c r="A55" s="2" t="inlineStr">
        <is>
          <t>hc</t>
        </is>
      </c>
      <c r="B55" s="2" t="inlineStr">
        <is>
          <t>hc_23</t>
        </is>
      </c>
      <c r="C55" s="2" t="inlineStr">
        <is>
          <t>Chrach</t>
        </is>
      </c>
      <c r="D55" s="2" t="n"/>
      <c r="E55" s="2" t="inlineStr">
        <is>
          <t>od_2</t>
        </is>
      </c>
    </row>
    <row r="56" ht="21.6" customHeight="1">
      <c r="A56" s="2" t="inlineStr">
        <is>
          <t>hc</t>
        </is>
      </c>
      <c r="B56" s="2" t="inlineStr">
        <is>
          <t>hc_24</t>
        </is>
      </c>
      <c r="C56" s="2" t="inlineStr">
        <is>
          <t>Kampong Srorlao</t>
        </is>
      </c>
      <c r="D56" s="2" t="n"/>
      <c r="E56" s="2" t="inlineStr">
        <is>
          <t>od_2</t>
        </is>
      </c>
    </row>
    <row r="57" ht="21.6" customHeight="1">
      <c r="A57" s="2" t="inlineStr">
        <is>
          <t>hc</t>
        </is>
      </c>
      <c r="B57" s="2" t="inlineStr">
        <is>
          <t>hc_25</t>
        </is>
      </c>
      <c r="C57" s="2" t="inlineStr">
        <is>
          <t>Koh Ke</t>
        </is>
      </c>
      <c r="D57" s="2" t="n"/>
      <c r="E57" s="2" t="inlineStr">
        <is>
          <t>od_2</t>
        </is>
      </c>
    </row>
    <row r="58" ht="21.6" customHeight="1">
      <c r="A58" s="2" t="inlineStr">
        <is>
          <t>hc</t>
        </is>
      </c>
      <c r="B58" s="2" t="inlineStr">
        <is>
          <t>hc_26</t>
        </is>
      </c>
      <c r="C58" s="2" t="inlineStr">
        <is>
          <t>Koulen</t>
        </is>
      </c>
      <c r="D58" s="2" t="n"/>
      <c r="E58" s="2" t="inlineStr">
        <is>
          <t>od_2</t>
        </is>
      </c>
    </row>
    <row r="59" ht="21.6" customHeight="1">
      <c r="A59" s="2" t="inlineStr">
        <is>
          <t>hc</t>
        </is>
      </c>
      <c r="B59" s="2" t="inlineStr">
        <is>
          <t>hc_27</t>
        </is>
      </c>
      <c r="C59" s="2" t="inlineStr">
        <is>
          <t>Mluo Prey</t>
        </is>
      </c>
      <c r="D59" s="2" t="n"/>
      <c r="E59" s="2" t="inlineStr">
        <is>
          <t>od_2</t>
        </is>
      </c>
    </row>
    <row r="60" ht="21.6" customHeight="1">
      <c r="A60" s="2" t="inlineStr">
        <is>
          <t>hc</t>
        </is>
      </c>
      <c r="B60" s="2" t="inlineStr">
        <is>
          <t>hc_28</t>
        </is>
      </c>
      <c r="C60" s="2" t="inlineStr">
        <is>
          <t>Peuk</t>
        </is>
      </c>
      <c r="D60" s="2" t="n"/>
      <c r="E60" s="2" t="inlineStr">
        <is>
          <t>od_2</t>
        </is>
      </c>
    </row>
    <row r="61" ht="21.6" customHeight="1">
      <c r="A61" s="2" t="inlineStr">
        <is>
          <t>hc</t>
        </is>
      </c>
      <c r="B61" s="2" t="inlineStr">
        <is>
          <t>hc_29</t>
        </is>
      </c>
      <c r="C61" s="2" t="inlineStr">
        <is>
          <t>Phnom Dek</t>
        </is>
      </c>
      <c r="D61" s="2" t="n"/>
      <c r="E61" s="2" t="inlineStr">
        <is>
          <t>od_2</t>
        </is>
      </c>
    </row>
    <row r="62" ht="21.6" customHeight="1">
      <c r="A62" s="2" t="inlineStr">
        <is>
          <t>hc</t>
        </is>
      </c>
      <c r="B62" s="2" t="inlineStr">
        <is>
          <t>hc_30</t>
        </is>
      </c>
      <c r="C62" s="2" t="inlineStr">
        <is>
          <t>Prame</t>
        </is>
      </c>
      <c r="D62" s="2" t="n"/>
      <c r="E62" s="2" t="inlineStr">
        <is>
          <t>od_2</t>
        </is>
      </c>
    </row>
    <row r="63" ht="21.6" customHeight="1">
      <c r="A63" s="2" t="inlineStr">
        <is>
          <t>hc</t>
        </is>
      </c>
      <c r="B63" s="2" t="inlineStr">
        <is>
          <t>hc_31</t>
        </is>
      </c>
      <c r="C63" s="2" t="inlineStr">
        <is>
          <t>Ronak Se</t>
        </is>
      </c>
      <c r="D63" s="2" t="n"/>
      <c r="E63" s="2" t="inlineStr">
        <is>
          <t>od_2</t>
        </is>
      </c>
    </row>
    <row r="64" ht="21.6" customHeight="1">
      <c r="A64" s="2" t="inlineStr">
        <is>
          <t>hc</t>
        </is>
      </c>
      <c r="B64" s="2" t="inlineStr">
        <is>
          <t>hc_32</t>
        </is>
      </c>
      <c r="C64" s="2" t="inlineStr">
        <is>
          <t>Rovieng</t>
        </is>
      </c>
      <c r="D64" s="2" t="n"/>
      <c r="E64" s="2" t="inlineStr">
        <is>
          <t>od_2</t>
        </is>
      </c>
    </row>
    <row r="65" ht="21.6" customHeight="1">
      <c r="A65" s="2" t="inlineStr">
        <is>
          <t>hc</t>
        </is>
      </c>
      <c r="B65" s="2" t="inlineStr">
        <is>
          <t>hc_33</t>
        </is>
      </c>
      <c r="C65" s="2" t="inlineStr">
        <is>
          <t>Sen Rong Reoung 1</t>
        </is>
      </c>
      <c r="D65" s="2" t="n"/>
      <c r="E65" s="2" t="inlineStr">
        <is>
          <t>od_2</t>
        </is>
      </c>
    </row>
    <row r="66" ht="21.6" customHeight="1">
      <c r="A66" s="2" t="inlineStr">
        <is>
          <t>hc</t>
        </is>
      </c>
      <c r="B66" s="2" t="inlineStr">
        <is>
          <t>hc_34</t>
        </is>
      </c>
      <c r="C66" s="2" t="inlineStr">
        <is>
          <t>Sen Rung Reoung 4</t>
        </is>
      </c>
      <c r="D66" s="2" t="n"/>
      <c r="E66" s="2" t="inlineStr">
        <is>
          <t>od_2</t>
        </is>
      </c>
    </row>
    <row r="67" ht="21.6" customHeight="1">
      <c r="A67" s="2" t="inlineStr">
        <is>
          <t>hc</t>
        </is>
      </c>
      <c r="B67" s="2" t="inlineStr">
        <is>
          <t>hc_35</t>
        </is>
      </c>
      <c r="C67" s="2" t="inlineStr">
        <is>
          <t>Takeoung</t>
        </is>
      </c>
      <c r="D67" s="2" t="n"/>
      <c r="E67" s="2" t="inlineStr">
        <is>
          <t>od_2</t>
        </is>
      </c>
    </row>
    <row r="68" ht="21.6" customHeight="1">
      <c r="A68" s="2" t="inlineStr">
        <is>
          <t>hc</t>
        </is>
      </c>
      <c r="B68" s="2" t="inlineStr">
        <is>
          <t>hc_36</t>
        </is>
      </c>
      <c r="C68" s="2" t="inlineStr">
        <is>
          <t>Yeang</t>
        </is>
      </c>
      <c r="D68" s="2" t="n"/>
      <c r="E68" s="2" t="inlineStr">
        <is>
          <t>od_2</t>
        </is>
      </c>
    </row>
    <row r="69" ht="21.6" customHeight="1">
      <c r="A69" s="2" t="inlineStr">
        <is>
          <t>hc</t>
        </is>
      </c>
      <c r="B69" s="2" t="inlineStr">
        <is>
          <t>hc_37</t>
        </is>
      </c>
      <c r="C69" s="2" t="inlineStr">
        <is>
          <t>Bat</t>
        </is>
      </c>
      <c r="D69" s="2" t="n"/>
      <c r="E69" s="2" t="inlineStr">
        <is>
          <t>od_3</t>
        </is>
      </c>
    </row>
    <row r="70" ht="21.6" customHeight="1">
      <c r="A70" s="2" t="inlineStr">
        <is>
          <t>hc</t>
        </is>
      </c>
      <c r="B70" s="2" t="inlineStr">
        <is>
          <t>hc_38</t>
        </is>
      </c>
      <c r="C70" s="2" t="inlineStr">
        <is>
          <t>Kork Daung</t>
        </is>
      </c>
      <c r="D70" s="2" t="n"/>
      <c r="E70" s="2" t="inlineStr">
        <is>
          <t>od_3</t>
        </is>
      </c>
    </row>
    <row r="71" ht="21.6" customHeight="1">
      <c r="A71" s="2" t="inlineStr">
        <is>
          <t>hc</t>
        </is>
      </c>
      <c r="B71" s="2" t="inlineStr">
        <is>
          <t>hc_39</t>
        </is>
      </c>
      <c r="C71" s="2" t="inlineStr">
        <is>
          <t>Srenoy</t>
        </is>
      </c>
      <c r="D71" s="2" t="n"/>
      <c r="E71" s="2" t="inlineStr">
        <is>
          <t>od_3</t>
        </is>
      </c>
    </row>
    <row r="72" ht="21.6" customHeight="1">
      <c r="A72" s="2" t="inlineStr">
        <is>
          <t>hc</t>
        </is>
      </c>
      <c r="B72" s="2" t="inlineStr">
        <is>
          <t>hc_40</t>
        </is>
      </c>
      <c r="C72" s="2" t="inlineStr">
        <is>
          <t>Duan Sok</t>
        </is>
      </c>
      <c r="D72" s="2" t="n"/>
      <c r="E72" s="2" t="inlineStr">
        <is>
          <t>od_4</t>
        </is>
      </c>
    </row>
    <row r="73" ht="21.6" customHeight="1">
      <c r="A73" s="2" t="inlineStr">
        <is>
          <t>hc</t>
        </is>
      </c>
      <c r="B73" s="2" t="inlineStr">
        <is>
          <t>hc_41</t>
        </is>
      </c>
      <c r="C73" s="2" t="inlineStr">
        <is>
          <t>Kampong Thkov</t>
        </is>
      </c>
      <c r="D73" s="2" t="n"/>
      <c r="E73" s="2" t="inlineStr">
        <is>
          <t>od_4</t>
        </is>
      </c>
    </row>
    <row r="74" ht="21.6" customHeight="1">
      <c r="A74" s="2" t="inlineStr">
        <is>
          <t>hc</t>
        </is>
      </c>
      <c r="B74" s="2" t="inlineStr">
        <is>
          <t>hc_42</t>
        </is>
      </c>
      <c r="C74" s="2" t="inlineStr">
        <is>
          <t>Maung</t>
        </is>
      </c>
      <c r="D74" s="2" t="n"/>
      <c r="E74" s="2" t="inlineStr">
        <is>
          <t>od_4</t>
        </is>
      </c>
    </row>
    <row r="75" ht="21.6" customHeight="1">
      <c r="A75" s="2" t="inlineStr">
        <is>
          <t>hc</t>
        </is>
      </c>
      <c r="B75" s="2" t="inlineStr">
        <is>
          <t>hc_43</t>
        </is>
      </c>
      <c r="C75" s="2" t="inlineStr">
        <is>
          <t>Prey</t>
        </is>
      </c>
      <c r="D75" s="2" t="n"/>
      <c r="E75" s="2" t="inlineStr">
        <is>
          <t>od_4</t>
        </is>
      </c>
    </row>
    <row r="76" ht="21.6" customHeight="1">
      <c r="A76" s="2" t="inlineStr">
        <is>
          <t>hc</t>
        </is>
      </c>
      <c r="B76" s="2" t="inlineStr">
        <is>
          <t>hc_44</t>
        </is>
      </c>
      <c r="C76" s="2" t="inlineStr">
        <is>
          <t>Sambour</t>
        </is>
      </c>
      <c r="D76" s="2" t="n"/>
      <c r="E76" s="2" t="inlineStr">
        <is>
          <t>od_4</t>
        </is>
      </c>
    </row>
    <row r="77" ht="21.6" customHeight="1">
      <c r="A77" s="2" t="inlineStr">
        <is>
          <t>hc</t>
        </is>
      </c>
      <c r="B77" s="2" t="inlineStr">
        <is>
          <t>hc_45</t>
        </is>
      </c>
      <c r="C77" s="2" t="inlineStr">
        <is>
          <t>Sen Sok</t>
        </is>
      </c>
      <c r="D77" s="2" t="n"/>
      <c r="E77" s="2" t="inlineStr">
        <is>
          <t>od_4</t>
        </is>
      </c>
    </row>
    <row r="78" ht="21.6" customHeight="1">
      <c r="A78" s="2" t="inlineStr">
        <is>
          <t>hc</t>
        </is>
      </c>
      <c r="B78" s="2" t="inlineStr">
        <is>
          <t>hc_46</t>
        </is>
      </c>
      <c r="C78" s="2" t="inlineStr">
        <is>
          <t>Sleng Spean</t>
        </is>
      </c>
      <c r="D78" s="2" t="n"/>
      <c r="E78" s="2" t="inlineStr">
        <is>
          <t>od_4</t>
        </is>
      </c>
    </row>
    <row r="79" ht="21.6" customHeight="1">
      <c r="A79" s="2" t="inlineStr">
        <is>
          <t>hc</t>
        </is>
      </c>
      <c r="B79" s="2" t="inlineStr">
        <is>
          <t>hc_47</t>
        </is>
      </c>
      <c r="C79" s="2" t="inlineStr">
        <is>
          <t>Sranal</t>
        </is>
      </c>
      <c r="D79" s="2" t="n"/>
      <c r="E79" s="2" t="inlineStr">
        <is>
          <t>od_4</t>
        </is>
      </c>
    </row>
    <row r="80" ht="21.6" customHeight="1">
      <c r="A80" s="2" t="inlineStr">
        <is>
          <t>hc</t>
        </is>
      </c>
      <c r="B80" s="2" t="inlineStr">
        <is>
          <t>hc_48</t>
        </is>
      </c>
      <c r="C80" s="2" t="inlineStr">
        <is>
          <t>Srey Snam</t>
        </is>
      </c>
      <c r="D80" s="2" t="n"/>
      <c r="E80" s="2" t="inlineStr">
        <is>
          <t>od_4</t>
        </is>
      </c>
    </row>
    <row r="81" ht="21.6" customHeight="1">
      <c r="A81" s="2" t="inlineStr">
        <is>
          <t>hc</t>
        </is>
      </c>
      <c r="B81" s="2" t="inlineStr">
        <is>
          <t>hc_49</t>
        </is>
      </c>
      <c r="C81" s="2" t="inlineStr">
        <is>
          <t>Ta An</t>
        </is>
      </c>
      <c r="D81" s="2" t="n"/>
      <c r="E81" s="2" t="inlineStr">
        <is>
          <t>od_4</t>
        </is>
      </c>
    </row>
    <row r="82" ht="21.6" customHeight="1">
      <c r="A82" s="2" t="inlineStr">
        <is>
          <t>hc</t>
        </is>
      </c>
      <c r="B82" s="2" t="inlineStr">
        <is>
          <t>hc_50</t>
        </is>
      </c>
      <c r="C82" s="2" t="inlineStr">
        <is>
          <t>Tram Sasar</t>
        </is>
      </c>
      <c r="D82" s="2" t="n"/>
      <c r="E82" s="2" t="inlineStr">
        <is>
          <t>od_4</t>
        </is>
      </c>
    </row>
    <row r="83" ht="21.6" customHeight="1">
      <c r="A83" s="2" t="inlineStr">
        <is>
          <t>hc</t>
        </is>
      </c>
      <c r="B83" s="2" t="inlineStr">
        <is>
          <t>hc_51</t>
        </is>
      </c>
      <c r="C83" s="2" t="inlineStr">
        <is>
          <t>Banteay Srey</t>
        </is>
      </c>
      <c r="D83" s="2" t="n"/>
      <c r="E83" s="2" t="inlineStr">
        <is>
          <t>od_5</t>
        </is>
      </c>
    </row>
    <row r="84" ht="21.6" customHeight="1">
      <c r="A84" s="2" t="inlineStr">
        <is>
          <t>hc</t>
        </is>
      </c>
      <c r="B84" s="2" t="inlineStr">
        <is>
          <t>hc_52</t>
        </is>
      </c>
      <c r="C84" s="2" t="inlineStr">
        <is>
          <t>Khun Ream</t>
        </is>
      </c>
      <c r="D84" s="2" t="n"/>
      <c r="E84" s="2" t="inlineStr">
        <is>
          <t>od_5</t>
        </is>
      </c>
    </row>
    <row r="85" ht="21.6" customHeight="1">
      <c r="A85" s="2" t="inlineStr">
        <is>
          <t>hc</t>
        </is>
      </c>
      <c r="B85" s="2" t="inlineStr">
        <is>
          <t>hc_53</t>
        </is>
      </c>
      <c r="C85" s="2" t="inlineStr">
        <is>
          <t>Peak Sneng</t>
        </is>
      </c>
      <c r="D85" s="2" t="n"/>
      <c r="E85" s="2" t="inlineStr">
        <is>
          <t>od_5</t>
        </is>
      </c>
    </row>
    <row r="86" ht="21.6" customHeight="1">
      <c r="A86" s="2" t="inlineStr">
        <is>
          <t>hc</t>
        </is>
      </c>
      <c r="B86" s="2" t="inlineStr">
        <is>
          <t>hc_54</t>
        </is>
      </c>
      <c r="C86" s="2" t="inlineStr">
        <is>
          <t>Tbeng</t>
        </is>
      </c>
      <c r="D86" s="2" t="n"/>
      <c r="E86" s="2" t="inlineStr">
        <is>
          <t>od_5</t>
        </is>
      </c>
    </row>
    <row r="87" ht="21.6" customHeight="1">
      <c r="A87" s="2" t="inlineStr">
        <is>
          <t>hc</t>
        </is>
      </c>
      <c r="B87" s="2" t="inlineStr">
        <is>
          <t>hc_55</t>
        </is>
      </c>
      <c r="C87" s="2" t="inlineStr">
        <is>
          <t>Chikreng</t>
        </is>
      </c>
      <c r="D87" s="2" t="n"/>
      <c r="E87" s="2" t="inlineStr">
        <is>
          <t>od_6</t>
        </is>
      </c>
    </row>
    <row r="88" ht="21.6" customHeight="1">
      <c r="A88" s="2" t="inlineStr">
        <is>
          <t>hc</t>
        </is>
      </c>
      <c r="B88" s="2" t="inlineStr">
        <is>
          <t>hc_56</t>
        </is>
      </c>
      <c r="C88" s="2" t="inlineStr">
        <is>
          <t>Kampong Khlaing</t>
        </is>
      </c>
      <c r="D88" s="2" t="n"/>
      <c r="E88" s="2" t="inlineStr">
        <is>
          <t>od_6</t>
        </is>
      </c>
    </row>
    <row r="89" ht="21.6" customHeight="1">
      <c r="A89" s="2" t="inlineStr">
        <is>
          <t>hc</t>
        </is>
      </c>
      <c r="B89" s="2" t="inlineStr">
        <is>
          <t>hc_57</t>
        </is>
      </c>
      <c r="C89" s="2" t="inlineStr">
        <is>
          <t>Kantout</t>
        </is>
      </c>
      <c r="D89" s="2" t="n"/>
      <c r="E89" s="2" t="inlineStr">
        <is>
          <t>od_6</t>
        </is>
      </c>
    </row>
    <row r="90" ht="21.6" customHeight="1">
      <c r="A90" s="2" t="inlineStr">
        <is>
          <t>hc</t>
        </is>
      </c>
      <c r="B90" s="2" t="inlineStr">
        <is>
          <t>hc_58</t>
        </is>
      </c>
      <c r="C90" s="2" t="inlineStr">
        <is>
          <t>Khna Po</t>
        </is>
      </c>
      <c r="D90" s="2" t="n"/>
      <c r="E90" s="2" t="inlineStr">
        <is>
          <t>od_6</t>
        </is>
      </c>
    </row>
    <row r="91" ht="21.6" customHeight="1">
      <c r="A91" s="2" t="inlineStr">
        <is>
          <t>hc</t>
        </is>
      </c>
      <c r="B91" s="2" t="inlineStr">
        <is>
          <t>hc_59</t>
        </is>
      </c>
      <c r="C91" s="2" t="inlineStr">
        <is>
          <t>Khnang Phnom</t>
        </is>
      </c>
      <c r="D91" s="2" t="n"/>
      <c r="E91" s="2" t="inlineStr">
        <is>
          <t>od_6</t>
        </is>
      </c>
    </row>
    <row r="92" ht="21.6" customHeight="1">
      <c r="A92" s="2" t="inlineStr">
        <is>
          <t>hc</t>
        </is>
      </c>
      <c r="B92" s="2" t="inlineStr">
        <is>
          <t>hc_60</t>
        </is>
      </c>
      <c r="C92" s="2" t="inlineStr">
        <is>
          <t>Khvav</t>
        </is>
      </c>
      <c r="D92" s="2" t="n"/>
      <c r="E92" s="2" t="inlineStr">
        <is>
          <t>od_6</t>
        </is>
      </c>
    </row>
    <row r="93" ht="21.6" customHeight="1">
      <c r="A93" s="2" t="inlineStr">
        <is>
          <t>hc</t>
        </is>
      </c>
      <c r="B93" s="2" t="inlineStr">
        <is>
          <t>hc_61</t>
        </is>
      </c>
      <c r="C93" s="2" t="inlineStr">
        <is>
          <t>Kok Thlok Kraum</t>
        </is>
      </c>
      <c r="D93" s="2" t="n"/>
      <c r="E93" s="2" t="inlineStr">
        <is>
          <t>od_6</t>
        </is>
      </c>
    </row>
    <row r="94" ht="21.6" customHeight="1">
      <c r="A94" s="2" t="inlineStr">
        <is>
          <t>hc</t>
        </is>
      </c>
      <c r="B94" s="2" t="inlineStr">
        <is>
          <t>hc_62</t>
        </is>
      </c>
      <c r="C94" s="2" t="inlineStr">
        <is>
          <t>Kokthlok Leu</t>
        </is>
      </c>
      <c r="D94" s="2" t="n"/>
      <c r="E94" s="2" t="inlineStr">
        <is>
          <t>od_6</t>
        </is>
      </c>
    </row>
    <row r="95" ht="21.6" customHeight="1">
      <c r="A95" s="2" t="inlineStr">
        <is>
          <t>hc</t>
        </is>
      </c>
      <c r="B95" s="2" t="inlineStr">
        <is>
          <t>hc_63</t>
        </is>
      </c>
      <c r="C95" s="2" t="inlineStr">
        <is>
          <t>Pong Ro Leu</t>
        </is>
      </c>
      <c r="D95" s="2" t="n"/>
      <c r="E95" s="2" t="inlineStr">
        <is>
          <t>od_6</t>
        </is>
      </c>
    </row>
    <row r="96" ht="21.6" customHeight="1">
      <c r="A96" s="2" t="inlineStr">
        <is>
          <t>hc</t>
        </is>
      </c>
      <c r="B96" s="2" t="inlineStr">
        <is>
          <t>hc_64</t>
        </is>
      </c>
      <c r="C96" s="2" t="inlineStr">
        <is>
          <t>Pongro Kraum</t>
        </is>
      </c>
      <c r="D96" s="2" t="n"/>
      <c r="E96" s="2" t="inlineStr">
        <is>
          <t>od_6</t>
        </is>
      </c>
    </row>
    <row r="97" ht="21.6" customHeight="1">
      <c r="A97" s="2" t="inlineStr">
        <is>
          <t>hc</t>
        </is>
      </c>
      <c r="B97" s="2" t="inlineStr">
        <is>
          <t>hc_65</t>
        </is>
      </c>
      <c r="C97" s="2" t="inlineStr">
        <is>
          <t>Popel</t>
        </is>
      </c>
      <c r="D97" s="2" t="n"/>
      <c r="E97" s="2" t="inlineStr">
        <is>
          <t>od_6</t>
        </is>
      </c>
    </row>
    <row r="98" ht="21.6" customHeight="1">
      <c r="A98" s="2" t="inlineStr">
        <is>
          <t>hc</t>
        </is>
      </c>
      <c r="B98" s="2" t="inlineStr">
        <is>
          <t>hc_66</t>
        </is>
      </c>
      <c r="C98" s="2" t="inlineStr">
        <is>
          <t>Reusseilok</t>
        </is>
      </c>
      <c r="D98" s="2" t="n"/>
      <c r="E98" s="2" t="inlineStr">
        <is>
          <t>od_6</t>
        </is>
      </c>
    </row>
    <row r="99" ht="21.6" customHeight="1">
      <c r="A99" s="2" t="inlineStr">
        <is>
          <t>hc</t>
        </is>
      </c>
      <c r="B99" s="2" t="inlineStr">
        <is>
          <t>hc_67</t>
        </is>
      </c>
      <c r="C99" s="2" t="inlineStr">
        <is>
          <t>Svay Leu</t>
        </is>
      </c>
      <c r="D99" s="2" t="n"/>
      <c r="E99" s="2" t="inlineStr">
        <is>
          <t>od_6</t>
        </is>
      </c>
    </row>
    <row r="100" ht="21.6" customHeight="1">
      <c r="A100" s="2" t="inlineStr">
        <is>
          <t>hc</t>
        </is>
      </c>
      <c r="B100" s="2" t="inlineStr">
        <is>
          <t>hc_68</t>
        </is>
      </c>
      <c r="C100" s="2" t="inlineStr">
        <is>
          <t>Ta Yek</t>
        </is>
      </c>
      <c r="D100" s="2" t="n"/>
      <c r="E100" s="2" t="inlineStr">
        <is>
          <t>od_6</t>
        </is>
      </c>
    </row>
    <row r="101" ht="21.6" customHeight="1">
      <c r="A101" s="2" t="inlineStr">
        <is>
          <t>hc</t>
        </is>
      </c>
      <c r="B101" s="2" t="inlineStr">
        <is>
          <t>hc_69</t>
        </is>
      </c>
      <c r="C101" s="2" t="inlineStr">
        <is>
          <t>Anlong Veng</t>
        </is>
      </c>
      <c r="D101" s="2" t="n"/>
      <c r="E101" s="2" t="inlineStr">
        <is>
          <t>od_7</t>
        </is>
      </c>
    </row>
    <row r="102" ht="21.6" customHeight="1">
      <c r="A102" s="2" t="inlineStr">
        <is>
          <t>hc</t>
        </is>
      </c>
      <c r="B102" s="2" t="inlineStr">
        <is>
          <t>hc_70</t>
        </is>
      </c>
      <c r="C102" s="2" t="inlineStr">
        <is>
          <t>O Krouch</t>
        </is>
      </c>
      <c r="D102" s="2" t="n"/>
      <c r="E102" s="2" t="inlineStr">
        <is>
          <t>od_7</t>
        </is>
      </c>
    </row>
    <row r="103" ht="21.6" customHeight="1">
      <c r="A103" s="2" t="inlineStr">
        <is>
          <t>hc</t>
        </is>
      </c>
      <c r="B103" s="2" t="inlineStr">
        <is>
          <t>hc_71</t>
        </is>
      </c>
      <c r="C103" s="2" t="inlineStr">
        <is>
          <t>Popel SenChey</t>
        </is>
      </c>
      <c r="D103" s="2" t="n"/>
      <c r="E103" s="2" t="inlineStr">
        <is>
          <t>od_7</t>
        </is>
      </c>
    </row>
    <row r="104" ht="21.6" customHeight="1">
      <c r="A104" s="2" t="inlineStr">
        <is>
          <t>hc</t>
        </is>
      </c>
      <c r="B104" s="2" t="inlineStr">
        <is>
          <t>hc_72</t>
        </is>
      </c>
      <c r="C104" s="2" t="inlineStr">
        <is>
          <t>Trapaing Prey</t>
        </is>
      </c>
      <c r="D104" s="2" t="n"/>
      <c r="E104" s="2" t="inlineStr">
        <is>
          <t>od_7</t>
        </is>
      </c>
    </row>
    <row r="105" ht="21.6" customHeight="1">
      <c r="A105" s="2" t="inlineStr">
        <is>
          <t>hc</t>
        </is>
      </c>
      <c r="B105" s="2" t="inlineStr">
        <is>
          <t>hc_73</t>
        </is>
      </c>
      <c r="C105" s="2" t="inlineStr">
        <is>
          <t>Trapeang Prasat</t>
        </is>
      </c>
      <c r="D105" s="2" t="n"/>
      <c r="E105" s="2" t="inlineStr">
        <is>
          <t>od_7</t>
        </is>
      </c>
    </row>
    <row r="106" ht="21.6" customHeight="1">
      <c r="A106" s="2" t="inlineStr">
        <is>
          <t>hc</t>
        </is>
      </c>
      <c r="B106" s="2" t="inlineStr">
        <is>
          <t>hc_74</t>
        </is>
      </c>
      <c r="C106" s="2" t="inlineStr">
        <is>
          <t>Tumnup Dach</t>
        </is>
      </c>
      <c r="D106" s="2" t="n"/>
      <c r="E106" s="2" t="inlineStr">
        <is>
          <t>od_7</t>
        </is>
      </c>
    </row>
    <row r="107" ht="21.6" customHeight="1">
      <c r="A107" s="2" t="inlineStr">
        <is>
          <t>hc</t>
        </is>
      </c>
      <c r="B107" s="2" t="inlineStr">
        <is>
          <t>hc_75</t>
        </is>
      </c>
      <c r="C107" s="2" t="inlineStr">
        <is>
          <t>Kaun Kriel</t>
        </is>
      </c>
      <c r="D107" s="2" t="n"/>
      <c r="E107" s="2" t="inlineStr">
        <is>
          <t>od_8</t>
        </is>
      </c>
    </row>
    <row r="108" ht="21.6" customHeight="1">
      <c r="A108" s="2" t="inlineStr">
        <is>
          <t>hc</t>
        </is>
      </c>
      <c r="B108" s="2" t="inlineStr">
        <is>
          <t>hc_76</t>
        </is>
      </c>
      <c r="C108" s="2" t="inlineStr">
        <is>
          <t>Ou Smach</t>
        </is>
      </c>
      <c r="D108" s="2" t="n"/>
      <c r="E108" s="2" t="inlineStr">
        <is>
          <t>od_8</t>
        </is>
      </c>
    </row>
    <row r="109" ht="21.6" customHeight="1">
      <c r="A109" s="2" t="inlineStr">
        <is>
          <t>hc</t>
        </is>
      </c>
      <c r="B109" s="2" t="inlineStr">
        <is>
          <t>hc_77</t>
        </is>
      </c>
      <c r="C109" s="2" t="inlineStr">
        <is>
          <t>Samroung Senchey</t>
        </is>
      </c>
      <c r="D109" s="2" t="n"/>
      <c r="E109" s="2" t="inlineStr">
        <is>
          <t>od_8</t>
        </is>
      </c>
    </row>
    <row r="110" ht="21.6" customHeight="1">
      <c r="A110" s="2" t="inlineStr">
        <is>
          <t>hc</t>
        </is>
      </c>
      <c r="B110" s="2" t="inlineStr">
        <is>
          <t>hc_78</t>
        </is>
      </c>
      <c r="C110" s="2" t="inlineStr">
        <is>
          <t>Balaing</t>
        </is>
      </c>
      <c r="D110" s="2" t="n"/>
      <c r="E110" s="2" t="inlineStr">
        <is>
          <t>od_9</t>
        </is>
      </c>
    </row>
    <row r="111" ht="21.6" customHeight="1">
      <c r="A111" s="2" t="inlineStr">
        <is>
          <t>hc</t>
        </is>
      </c>
      <c r="B111" s="2" t="inlineStr">
        <is>
          <t>hc_79</t>
        </is>
      </c>
      <c r="C111" s="2" t="inlineStr">
        <is>
          <t>O srorlao</t>
        </is>
      </c>
      <c r="D111" s="2" t="n"/>
      <c r="E111" s="2" t="inlineStr">
        <is>
          <t>od_9</t>
        </is>
      </c>
    </row>
    <row r="112" ht="21.6" customHeight="1">
      <c r="A112" s="2" t="inlineStr">
        <is>
          <t>hc</t>
        </is>
      </c>
      <c r="B112" s="2" t="inlineStr">
        <is>
          <t>hc_80</t>
        </is>
      </c>
      <c r="C112" s="2" t="inlineStr">
        <is>
          <t>Tuol Pongro</t>
        </is>
      </c>
      <c r="D112" s="2" t="n"/>
      <c r="E112" s="2" t="inlineStr">
        <is>
          <t>od_9</t>
        </is>
      </c>
    </row>
    <row r="113" ht="21.6" customHeight="1">
      <c r="A113" s="2" t="inlineStr">
        <is>
          <t>hc</t>
        </is>
      </c>
      <c r="B113" s="2" t="inlineStr">
        <is>
          <t>hc_81</t>
        </is>
      </c>
      <c r="C113" s="2" t="inlineStr">
        <is>
          <t>Nimith</t>
        </is>
      </c>
      <c r="D113" s="2" t="n"/>
      <c r="E113" s="2" t="inlineStr">
        <is>
          <t>od_10</t>
        </is>
      </c>
    </row>
    <row r="114" ht="21.6" customHeight="1">
      <c r="A114" s="2" t="inlineStr">
        <is>
          <t>hc</t>
        </is>
      </c>
      <c r="B114" s="2" t="inlineStr">
        <is>
          <t>hc_82</t>
        </is>
      </c>
      <c r="C114" s="2" t="inlineStr">
        <is>
          <t>Ou Bei Choan</t>
        </is>
      </c>
      <c r="D114" s="2" t="n"/>
      <c r="E114" s="2" t="inlineStr">
        <is>
          <t>od_10</t>
        </is>
      </c>
    </row>
    <row r="115" ht="21.6" customHeight="1">
      <c r="A115" s="2" t="inlineStr">
        <is>
          <t>hc</t>
        </is>
      </c>
      <c r="B115" s="2" t="inlineStr">
        <is>
          <t>hc_83</t>
        </is>
      </c>
      <c r="C115" s="2" t="inlineStr">
        <is>
          <t>Ou Ruessei 2</t>
        </is>
      </c>
      <c r="D115" s="2" t="n"/>
      <c r="E115" s="2" t="inlineStr">
        <is>
          <t>od_10</t>
        </is>
      </c>
    </row>
    <row r="116" ht="21.6" customHeight="1">
      <c r="A116" s="2" t="inlineStr">
        <is>
          <t>hc</t>
        </is>
      </c>
      <c r="B116" s="2" t="inlineStr">
        <is>
          <t>hc_84</t>
        </is>
      </c>
      <c r="C116" s="2" t="inlineStr">
        <is>
          <t>Psar Kandal</t>
        </is>
      </c>
      <c r="D116" s="2" t="n"/>
      <c r="E116" s="2" t="inlineStr">
        <is>
          <t>od_10</t>
        </is>
      </c>
    </row>
    <row r="117" ht="21.6" customHeight="1">
      <c r="A117" s="2" t="inlineStr">
        <is>
          <t>hc</t>
        </is>
      </c>
      <c r="B117" s="2" t="inlineStr">
        <is>
          <t>hc_85</t>
        </is>
      </c>
      <c r="C117" s="2" t="inlineStr">
        <is>
          <t>Nam Tau</t>
        </is>
      </c>
      <c r="D117" s="2" t="n"/>
      <c r="E117" s="2" t="inlineStr">
        <is>
          <t>od_11</t>
        </is>
      </c>
    </row>
    <row r="118" ht="21.6" customHeight="1">
      <c r="A118" s="2" t="inlineStr">
        <is>
          <t>hc</t>
        </is>
      </c>
      <c r="B118" s="2" t="inlineStr">
        <is>
          <t>hc_86</t>
        </is>
      </c>
      <c r="C118" s="2" t="inlineStr">
        <is>
          <t>Banteay Chhmar</t>
        </is>
      </c>
      <c r="D118" s="2" t="n"/>
      <c r="E118" s="2" t="inlineStr">
        <is>
          <t>od_12</t>
        </is>
      </c>
    </row>
    <row r="119" ht="21.6" customHeight="1">
      <c r="A119" s="2" t="inlineStr">
        <is>
          <t>hc</t>
        </is>
      </c>
      <c r="B119" s="2" t="inlineStr">
        <is>
          <t>hc_87</t>
        </is>
      </c>
      <c r="C119" s="2" t="inlineStr">
        <is>
          <t>Beung Trakuon</t>
        </is>
      </c>
      <c r="D119" s="2" t="n"/>
      <c r="E119" s="2" t="inlineStr">
        <is>
          <t>od_12</t>
        </is>
      </c>
    </row>
    <row r="120" ht="21.6" customHeight="1">
      <c r="A120" s="2" t="inlineStr">
        <is>
          <t>hc</t>
        </is>
      </c>
      <c r="B120" s="2" t="inlineStr">
        <is>
          <t>hc_88</t>
        </is>
      </c>
      <c r="C120" s="2" t="inlineStr">
        <is>
          <t>Rolous</t>
        </is>
      </c>
      <c r="D120" s="2" t="n"/>
      <c r="E120" s="2" t="inlineStr">
        <is>
          <t>od_12</t>
        </is>
      </c>
    </row>
    <row r="121" ht="21.6" customHeight="1">
      <c r="A121" s="2" t="inlineStr">
        <is>
          <t>hc</t>
        </is>
      </c>
      <c r="B121" s="2" t="inlineStr">
        <is>
          <t>hc_89</t>
        </is>
      </c>
      <c r="C121" s="2" t="inlineStr">
        <is>
          <t>Krosang Chek</t>
        </is>
      </c>
      <c r="D121" s="2" t="n"/>
      <c r="E121" s="2" t="inlineStr">
        <is>
          <t>od_13</t>
        </is>
      </c>
    </row>
    <row r="122" ht="21.6" customHeight="1">
      <c r="A122" s="2" t="inlineStr">
        <is>
          <t>hc</t>
        </is>
      </c>
      <c r="B122" s="2" t="inlineStr">
        <is>
          <t>hc_90</t>
        </is>
      </c>
      <c r="C122" s="2" t="inlineStr">
        <is>
          <t>Krouch Meas</t>
        </is>
      </c>
      <c r="D122" s="2" t="n"/>
      <c r="E122" s="2" t="inlineStr">
        <is>
          <t>od_13</t>
        </is>
      </c>
    </row>
    <row r="123" ht="21.6" customHeight="1">
      <c r="A123" s="2" t="inlineStr">
        <is>
          <t>hc</t>
        </is>
      </c>
      <c r="B123" s="2" t="inlineStr">
        <is>
          <t>hc_91</t>
        </is>
      </c>
      <c r="C123" s="2" t="inlineStr">
        <is>
          <t>Oral</t>
        </is>
      </c>
      <c r="D123" s="2" t="n"/>
      <c r="E123" s="2" t="inlineStr">
        <is>
          <t>od_13</t>
        </is>
      </c>
    </row>
    <row r="124" ht="21.6" customHeight="1">
      <c r="A124" s="2" t="inlineStr">
        <is>
          <t>hc</t>
        </is>
      </c>
      <c r="B124" s="2" t="inlineStr">
        <is>
          <t>hc_92</t>
        </is>
      </c>
      <c r="C124" s="2" t="inlineStr">
        <is>
          <t>Prey Chumpou Mean Ang</t>
        </is>
      </c>
      <c r="D124" s="2" t="n"/>
      <c r="E124" s="2" t="inlineStr">
        <is>
          <t>od_13</t>
        </is>
      </c>
    </row>
    <row r="125" ht="21.6" customHeight="1">
      <c r="A125" s="2" t="inlineStr">
        <is>
          <t>hc</t>
        </is>
      </c>
      <c r="B125" s="2" t="inlineStr">
        <is>
          <t>hc_93</t>
        </is>
      </c>
      <c r="C125" s="2" t="inlineStr">
        <is>
          <t>Roleak Kongcheung</t>
        </is>
      </c>
      <c r="D125" s="2" t="n"/>
      <c r="E125" s="2" t="inlineStr">
        <is>
          <t>od_13</t>
        </is>
      </c>
    </row>
    <row r="126" ht="21.6" customHeight="1">
      <c r="A126" s="2" t="inlineStr">
        <is>
          <t>hc</t>
        </is>
      </c>
      <c r="B126" s="2" t="inlineStr">
        <is>
          <t>hc_94</t>
        </is>
      </c>
      <c r="C126" s="2" t="inlineStr">
        <is>
          <t>Trapeang Chour</t>
        </is>
      </c>
      <c r="D126" s="2" t="n"/>
      <c r="E126" s="2" t="inlineStr">
        <is>
          <t>od_13</t>
        </is>
      </c>
    </row>
    <row r="127" ht="21.6" customHeight="1">
      <c r="A127" s="2" t="inlineStr">
        <is>
          <t>hc</t>
        </is>
      </c>
      <c r="B127" s="2" t="inlineStr">
        <is>
          <t>hc_95</t>
        </is>
      </c>
      <c r="C127" s="2" t="inlineStr">
        <is>
          <t>Sdok</t>
        </is>
      </c>
      <c r="D127" s="2" t="n"/>
      <c r="E127" s="2" t="inlineStr">
        <is>
          <t>od_14</t>
        </is>
      </c>
    </row>
    <row r="128" ht="21.6" customHeight="1">
      <c r="A128" s="2" t="inlineStr">
        <is>
          <t>hc</t>
        </is>
      </c>
      <c r="B128" s="2" t="inlineStr">
        <is>
          <t>hc_96</t>
        </is>
      </c>
      <c r="C128" s="2" t="inlineStr">
        <is>
          <t>Svay Chochep</t>
        </is>
      </c>
      <c r="D128" s="2" t="n"/>
      <c r="E128" s="2" t="inlineStr">
        <is>
          <t>od_14</t>
        </is>
      </c>
    </row>
    <row r="129" ht="21.6" customHeight="1">
      <c r="A129" s="2" t="inlineStr">
        <is>
          <t>hc</t>
        </is>
      </c>
      <c r="B129" s="2" t="inlineStr">
        <is>
          <t>hc_97</t>
        </is>
      </c>
      <c r="C129" s="2" t="inlineStr">
        <is>
          <t>Tuol Sala</t>
        </is>
      </c>
      <c r="D129" s="2" t="n"/>
      <c r="E129" s="2" t="inlineStr">
        <is>
          <t>od_14</t>
        </is>
      </c>
    </row>
    <row r="130" ht="21.6" customHeight="1">
      <c r="A130" s="2" t="inlineStr">
        <is>
          <t>hc</t>
        </is>
      </c>
      <c r="B130" s="2" t="inlineStr">
        <is>
          <t>hc_98</t>
        </is>
      </c>
      <c r="C130" s="2" t="inlineStr">
        <is>
          <t>Amleang</t>
        </is>
      </c>
      <c r="D130" s="2" t="n"/>
      <c r="E130" s="2" t="inlineStr">
        <is>
          <t>od_15</t>
        </is>
      </c>
    </row>
    <row r="131" ht="21.6" customHeight="1">
      <c r="A131" s="2" t="inlineStr">
        <is>
          <t>hc</t>
        </is>
      </c>
      <c r="B131" s="2" t="inlineStr">
        <is>
          <t>hc_99</t>
        </is>
      </c>
      <c r="C131" s="2" t="inlineStr">
        <is>
          <t>Anluong Chrey</t>
        </is>
      </c>
      <c r="D131" s="2" t="n"/>
      <c r="E131" s="2" t="inlineStr">
        <is>
          <t>od_15</t>
        </is>
      </c>
    </row>
    <row r="132" ht="21.6" customHeight="1">
      <c r="A132" s="2" t="inlineStr">
        <is>
          <t>hc</t>
        </is>
      </c>
      <c r="B132" s="2" t="inlineStr">
        <is>
          <t>hc_100</t>
        </is>
      </c>
      <c r="C132" s="2" t="inlineStr">
        <is>
          <t>Cheung Roas Samaki</t>
        </is>
      </c>
      <c r="D132" s="2" t="n"/>
      <c r="E132" s="2" t="inlineStr">
        <is>
          <t>od_15</t>
        </is>
      </c>
    </row>
    <row r="133" ht="21.6" customHeight="1">
      <c r="A133" s="2" t="inlineStr">
        <is>
          <t>hc</t>
        </is>
      </c>
      <c r="B133" s="2" t="inlineStr">
        <is>
          <t>hc_101</t>
        </is>
      </c>
      <c r="C133" s="2" t="inlineStr">
        <is>
          <t>Dom Kvet</t>
        </is>
      </c>
      <c r="D133" s="2" t="n"/>
      <c r="E133" s="2" t="inlineStr">
        <is>
          <t>od_15</t>
        </is>
      </c>
    </row>
    <row r="134" ht="21.6" customHeight="1">
      <c r="A134" s="2" t="inlineStr">
        <is>
          <t>hc</t>
        </is>
      </c>
      <c r="B134" s="2" t="inlineStr">
        <is>
          <t>hc_102</t>
        </is>
      </c>
      <c r="C134" s="2" t="inlineStr">
        <is>
          <t>Monor Rung Roeang</t>
        </is>
      </c>
      <c r="D134" s="2" t="n"/>
      <c r="E134" s="2" t="inlineStr">
        <is>
          <t>od_15</t>
        </is>
      </c>
    </row>
    <row r="135" ht="21.6" customHeight="1">
      <c r="A135" s="2" t="inlineStr">
        <is>
          <t>hc</t>
        </is>
      </c>
      <c r="B135" s="2" t="inlineStr">
        <is>
          <t>hc_103</t>
        </is>
      </c>
      <c r="C135" s="2" t="inlineStr">
        <is>
          <t>Chambak</t>
        </is>
      </c>
      <c r="D135" s="2" t="n"/>
      <c r="E135" s="2" t="inlineStr">
        <is>
          <t>od_16</t>
        </is>
      </c>
    </row>
    <row r="136" ht="21.6" customHeight="1">
      <c r="A136" s="2" t="inlineStr">
        <is>
          <t>hc</t>
        </is>
      </c>
      <c r="B136" s="2" t="inlineStr">
        <is>
          <t>hc_104</t>
        </is>
      </c>
      <c r="C136" s="2" t="inlineStr">
        <is>
          <t>Damnak Damrei</t>
        </is>
      </c>
      <c r="D136" s="2" t="n"/>
      <c r="E136" s="2" t="inlineStr">
        <is>
          <t>od_16</t>
        </is>
      </c>
    </row>
    <row r="137" ht="21.6" customHeight="1">
      <c r="A137" s="2" t="inlineStr">
        <is>
          <t>hc</t>
        </is>
      </c>
      <c r="B137" s="2" t="inlineStr">
        <is>
          <t>hc_105</t>
        </is>
      </c>
      <c r="C137" s="2" t="inlineStr">
        <is>
          <t>Samroung romduol</t>
        </is>
      </c>
      <c r="D137" s="2" t="n"/>
      <c r="E137" s="2" t="inlineStr">
        <is>
          <t>od_16</t>
        </is>
      </c>
    </row>
    <row r="138" ht="21.6" customHeight="1">
      <c r="A138" s="2" t="inlineStr">
        <is>
          <t>hc</t>
        </is>
      </c>
      <c r="B138" s="2" t="inlineStr">
        <is>
          <t>hc_106</t>
        </is>
      </c>
      <c r="C138" s="2" t="inlineStr">
        <is>
          <t>Ta Lat</t>
        </is>
      </c>
      <c r="D138" s="2" t="n"/>
      <c r="E138" s="2" t="inlineStr">
        <is>
          <t>od_16</t>
        </is>
      </c>
    </row>
    <row r="139" ht="21.6" customHeight="1">
      <c r="A139" s="2" t="inlineStr">
        <is>
          <t>hc</t>
        </is>
      </c>
      <c r="B139" s="2" t="inlineStr">
        <is>
          <t>hc_107</t>
        </is>
      </c>
      <c r="C139" s="2" t="inlineStr">
        <is>
          <t>Tang Somrong</t>
        </is>
      </c>
      <c r="D139" s="2" t="n"/>
      <c r="E139" s="2" t="inlineStr">
        <is>
          <t>od_16</t>
        </is>
      </c>
    </row>
    <row r="140" ht="21.6" customHeight="1">
      <c r="A140" s="2" t="inlineStr">
        <is>
          <t>hc</t>
        </is>
      </c>
      <c r="B140" s="2" t="inlineStr">
        <is>
          <t>hc_108</t>
        </is>
      </c>
      <c r="C140" s="2" t="inlineStr">
        <is>
          <t>Traeng Trayueng</t>
        </is>
      </c>
      <c r="D140" s="2" t="n"/>
      <c r="E140" s="2" t="inlineStr">
        <is>
          <t>od_16</t>
        </is>
      </c>
    </row>
    <row r="141" hidden="1">
      <c r="A141" s="2" t="inlineStr">
        <is>
          <t>hc</t>
        </is>
      </c>
      <c r="B141" s="2" t="inlineStr">
        <is>
          <t>hc_109</t>
        </is>
      </c>
      <c r="C141" s="2" t="inlineStr">
        <is>
          <t>Trapeang Kraloeung</t>
        </is>
      </c>
      <c r="D141" s="2" t="n"/>
      <c r="E141" s="2" t="inlineStr">
        <is>
          <t>od_16</t>
        </is>
      </c>
    </row>
    <row r="142" ht="21.6" customHeight="1">
      <c r="A142" t="inlineStr">
        <is>
          <t>hc</t>
        </is>
      </c>
      <c r="B142" t="inlineStr">
        <is>
          <t>other</t>
        </is>
      </c>
      <c r="C142" t="inlineStr">
        <is>
          <t>ផ្សេងទៀត</t>
        </is>
      </c>
    </row>
    <row r="143" ht="21.6" customHeight="1">
      <c r="A143" s="2" t="inlineStr">
        <is>
          <t>q1</t>
        </is>
      </c>
      <c r="B143" s="2" t="inlineStr">
        <is>
          <t>a</t>
        </is>
      </c>
      <c r="C143" s="2" t="inlineStr">
        <is>
          <t>វាស់សម្ពាធឈាម</t>
        </is>
      </c>
      <c r="D143" s="2" t="n"/>
      <c r="E143" s="2" t="n"/>
    </row>
    <row r="144" ht="21.6" customHeight="1">
      <c r="A144" s="2" t="inlineStr">
        <is>
          <t>q1</t>
        </is>
      </c>
      <c r="B144" s="2" t="inlineStr">
        <is>
          <t>b</t>
        </is>
      </c>
      <c r="C144" s="2" t="inlineStr">
        <is>
          <t>រកឃើញអង់ទីហ្សែនរបស់មេរោគគ្រុនចាញ់ក្នុងឈាម</t>
        </is>
      </c>
      <c r="D144" s="2" t="n"/>
      <c r="E144" s="2" t="n"/>
    </row>
    <row r="145" ht="21.6" customHeight="1">
      <c r="A145" s="2" t="inlineStr">
        <is>
          <t>q1</t>
        </is>
      </c>
      <c r="B145" s="2" t="inlineStr">
        <is>
          <t>c</t>
        </is>
      </c>
      <c r="C145" s="2" t="inlineStr">
        <is>
          <t>វាស់ជាតិស្ករក្នុងឈាម</t>
        </is>
      </c>
      <c r="D145" s="2" t="n"/>
      <c r="E145" s="2" t="n"/>
    </row>
    <row r="146" ht="21.6" customHeight="1">
      <c r="A146" s="2" t="inlineStr">
        <is>
          <t>q1</t>
        </is>
      </c>
      <c r="B146" s="2" t="inlineStr">
        <is>
          <t>d</t>
        </is>
      </c>
      <c r="C146" s="2" t="inlineStr">
        <is>
          <t>រកឃើញជំងឺគ្រុនឈាម</t>
        </is>
      </c>
      <c r="D146" s="2" t="n"/>
      <c r="E146" s="2" t="n"/>
    </row>
    <row r="147" ht="21.6" customHeight="1">
      <c r="A147" s="2" t="inlineStr">
        <is>
          <t>q2</t>
        </is>
      </c>
      <c r="B147" s="2" t="inlineStr">
        <is>
          <t>a</t>
        </is>
      </c>
      <c r="C147" s="2" t="inlineStr">
        <is>
          <t>HRP2 និង pLDH</t>
        </is>
      </c>
      <c r="D147" s="2" t="n"/>
      <c r="E147" s="2" t="n"/>
    </row>
    <row r="148" ht="21.6" customHeight="1">
      <c r="A148" s="2" t="inlineStr">
        <is>
          <t>q2</t>
        </is>
      </c>
      <c r="B148" s="2" t="inlineStr">
        <is>
          <t>b</t>
        </is>
      </c>
      <c r="C148" s="2" t="inlineStr">
        <is>
          <t>Hb និង WBC</t>
        </is>
      </c>
      <c r="D148" s="2" t="n"/>
      <c r="E148" s="2" t="n"/>
    </row>
    <row r="149" ht="21.6" customHeight="1">
      <c r="A149" s="2" t="inlineStr">
        <is>
          <t>q2</t>
        </is>
      </c>
      <c r="B149" s="2" t="inlineStr">
        <is>
          <t>c</t>
        </is>
      </c>
      <c r="C149" s="2" t="inlineStr">
        <is>
          <t>Dengue NS1 និង IgM</t>
        </is>
      </c>
      <c r="D149" s="2" t="n"/>
      <c r="E149" s="2" t="n"/>
    </row>
    <row r="150" ht="21.6" customHeight="1">
      <c r="A150" s="2" t="inlineStr">
        <is>
          <t>q2</t>
        </is>
      </c>
      <c r="B150" s="2" t="inlineStr">
        <is>
          <t>d</t>
        </is>
      </c>
      <c r="C150" s="2" t="inlineStr">
        <is>
          <t>G6PD និង Hb</t>
        </is>
      </c>
      <c r="D150" s="2" t="n"/>
      <c r="E150" s="2" t="n"/>
    </row>
    <row r="151" ht="21.6" customHeight="1">
      <c r="A151" s="2" t="inlineStr">
        <is>
          <t>q3</t>
        </is>
      </c>
      <c r="B151" s="2" t="inlineStr">
        <is>
          <t>a</t>
        </is>
      </c>
      <c r="C151" s="2" t="inlineStr">
        <is>
          <t>P. vivax</t>
        </is>
      </c>
      <c r="D151" s="2" t="n"/>
      <c r="E151" s="2" t="n"/>
    </row>
    <row r="152" ht="21.6" customHeight="1">
      <c r="A152" s="2" t="inlineStr">
        <is>
          <t>q3</t>
        </is>
      </c>
      <c r="B152" s="2" t="inlineStr">
        <is>
          <t>b</t>
        </is>
      </c>
      <c r="C152" s="2" t="inlineStr">
        <is>
          <t>P. malariae</t>
        </is>
      </c>
      <c r="D152" s="2" t="n"/>
      <c r="E152" s="2" t="n"/>
    </row>
    <row r="153" ht="21.6" customHeight="1">
      <c r="A153" s="2" t="inlineStr">
        <is>
          <t>q3</t>
        </is>
      </c>
      <c r="B153" s="2" t="inlineStr">
        <is>
          <t>c</t>
        </is>
      </c>
      <c r="C153" s="2" t="inlineStr">
        <is>
          <t>P. falciparum</t>
        </is>
      </c>
      <c r="D153" s="2" t="n"/>
      <c r="E153" s="2" t="n"/>
    </row>
    <row r="154" ht="21.6" customHeight="1">
      <c r="A154" s="2" t="inlineStr">
        <is>
          <t>q3</t>
        </is>
      </c>
      <c r="B154" s="2" t="inlineStr">
        <is>
          <t>d</t>
        </is>
      </c>
      <c r="C154" s="2" t="inlineStr">
        <is>
          <t>P. ovale</t>
        </is>
      </c>
      <c r="D154" s="2" t="n"/>
      <c r="E154" s="2" t="n"/>
    </row>
    <row r="155" ht="21.6" customHeight="1">
      <c r="A155" s="2" t="inlineStr">
        <is>
          <t>q4</t>
        </is>
      </c>
      <c r="B155" s="2" t="inlineStr">
        <is>
          <t>a</t>
        </is>
      </c>
      <c r="C155" s="2" t="inlineStr">
        <is>
          <t>រកឃើញតែមេរោគ P. falciparum</t>
        </is>
      </c>
      <c r="D155" s="2" t="n"/>
      <c r="E155" s="2" t="n"/>
    </row>
    <row r="156" ht="21.6" customHeight="1">
      <c r="A156" s="2" t="inlineStr">
        <is>
          <t>q4</t>
        </is>
      </c>
      <c r="B156" s="2" t="inlineStr">
        <is>
          <t>b</t>
        </is>
      </c>
      <c r="C156" s="2" t="inlineStr">
        <is>
          <t>រកឃើញមេរោគគ្រុនចាញ់ជាច្រើនប្រភេទ</t>
        </is>
      </c>
      <c r="D156" s="2" t="n"/>
      <c r="E156" s="2" t="n"/>
    </row>
    <row r="157" ht="21.6" customHeight="1">
      <c r="A157" s="2" t="inlineStr">
        <is>
          <t>q4</t>
        </is>
      </c>
      <c r="B157" s="2" t="inlineStr">
        <is>
          <t>c</t>
        </is>
      </c>
      <c r="C157" s="2" t="inlineStr">
        <is>
          <t>វាស់កម្រិត G6PD</t>
        </is>
      </c>
      <c r="D157" s="2" t="n"/>
      <c r="E157" s="2" t="n"/>
    </row>
    <row r="158" ht="21.6" customHeight="1">
      <c r="A158" s="2" t="inlineStr">
        <is>
          <t>q4</t>
        </is>
      </c>
      <c r="B158" s="2" t="inlineStr">
        <is>
          <t>d</t>
        </is>
      </c>
      <c r="C158" s="2" t="inlineStr">
        <is>
          <t>វាស់កម្រិត Hb</t>
        </is>
      </c>
      <c r="D158" s="2" t="n"/>
      <c r="E158" s="2" t="n"/>
    </row>
    <row r="159" ht="21.6" customHeight="1">
      <c r="A159" s="2" t="inlineStr">
        <is>
          <t>q5</t>
        </is>
      </c>
      <c r="B159" s="2" t="inlineStr">
        <is>
          <t>a</t>
        </is>
      </c>
      <c r="C159" s="2" t="inlineStr">
        <is>
          <t>ទឹកនោម</t>
        </is>
      </c>
      <c r="D159" s="2" t="n"/>
      <c r="E159" s="2" t="n"/>
    </row>
    <row r="160" ht="21.6" customHeight="1">
      <c r="A160" s="2" t="inlineStr">
        <is>
          <t>q5</t>
        </is>
      </c>
      <c r="B160" s="2" t="inlineStr">
        <is>
          <t>b</t>
        </is>
      </c>
      <c r="C160" s="2" t="inlineStr">
        <is>
          <t>ទឹកមាត់</t>
        </is>
      </c>
      <c r="D160" s="2" t="n"/>
      <c r="E160" s="2" t="n"/>
    </row>
    <row r="161" ht="21.6" customHeight="1">
      <c r="A161" s="2" t="inlineStr">
        <is>
          <t>q5</t>
        </is>
      </c>
      <c r="B161" s="2" t="inlineStr">
        <is>
          <t>c</t>
        </is>
      </c>
      <c r="C161" s="2" t="inlineStr">
        <is>
          <t>ឈាមទាំងមូល (Whole blood)</t>
        </is>
      </c>
      <c r="D161" s="2" t="n"/>
      <c r="E161" s="2" t="n"/>
    </row>
    <row r="162" ht="21.6" customHeight="1">
      <c r="A162" s="2" t="inlineStr">
        <is>
          <t>q5</t>
        </is>
      </c>
      <c r="B162" s="2" t="inlineStr">
        <is>
          <t>d</t>
        </is>
      </c>
      <c r="C162" s="2" t="inlineStr">
        <is>
          <t>ទឹកខួរឆ្អឹងខ្នង</t>
        </is>
      </c>
      <c r="D162" s="2" t="n"/>
      <c r="E162" s="2" t="n"/>
    </row>
    <row r="163" ht="21.6" customHeight="1">
      <c r="A163" s="2" t="inlineStr">
        <is>
          <t>q6</t>
        </is>
      </c>
      <c r="B163" s="2" t="inlineStr">
        <is>
          <t>a</t>
        </is>
      </c>
      <c r="C163" s="2" t="inlineStr">
        <is>
          <t>បដិសេធជំងឺគ្រុនចាញ់ភ្លាមៗ</t>
        </is>
      </c>
      <c r="D163" s="2" t="n"/>
      <c r="E163" s="2" t="n"/>
    </row>
    <row r="164" ht="43.2" customHeight="1">
      <c r="A164" s="2" t="inlineStr">
        <is>
          <t>q6</t>
        </is>
      </c>
      <c r="B164" s="2" t="inlineStr">
        <is>
          <t>b</t>
        </is>
      </c>
      <c r="C164" s="2" t="inlineStr">
        <is>
          <t>មិនចាំបាច់ពិនិត្យបន្ថែម</t>
        </is>
      </c>
      <c r="D164" s="2" t="n"/>
      <c r="E164" s="2" t="n"/>
    </row>
    <row r="165" ht="21.6" customHeight="1">
      <c r="A165" s="2" t="inlineStr">
        <is>
          <t>q6</t>
        </is>
      </c>
      <c r="B165" s="2" t="inlineStr">
        <is>
          <t>c</t>
        </is>
      </c>
      <c r="C165" s="2" t="inlineStr">
        <is>
          <t>ពិចារណាពិនិត្យបញ្ជាក់បន្ថែម ដូចជា microscopy តាមការចង្អុលបង្ហាញ</t>
        </is>
      </c>
      <c r="D165" s="2" t="n"/>
      <c r="E165" s="2" t="n"/>
    </row>
    <row r="166" ht="21.6" customHeight="1">
      <c r="A166" s="2" t="inlineStr">
        <is>
          <t>q6</t>
        </is>
      </c>
      <c r="B166" s="2" t="inlineStr">
        <is>
          <t>d</t>
        </is>
      </c>
      <c r="C166" s="2" t="inlineStr">
        <is>
          <t>ចាប់ផ្ដើមថ្នាំគ្រុនចាញ់គ្រប់ករណី</t>
        </is>
      </c>
      <c r="D166" s="2" t="n"/>
      <c r="E166" s="2" t="n"/>
    </row>
    <row r="167" ht="43.2" customHeight="1">
      <c r="A167" s="2" t="inlineStr">
        <is>
          <t>q7</t>
        </is>
      </c>
      <c r="B167" s="2" t="inlineStr">
        <is>
          <t>a</t>
        </is>
      </c>
      <c r="C167" s="2" t="inlineStr">
        <is>
          <t>RDT អាចរកឃើញមេរោគគ្រប់កម្រិត</t>
        </is>
      </c>
      <c r="D167" s="2" t="n"/>
      <c r="E167" s="2" t="n"/>
    </row>
    <row r="168" ht="21.6" customHeight="1">
      <c r="A168" s="2" t="inlineStr">
        <is>
          <t>q7</t>
        </is>
      </c>
      <c r="B168" s="2" t="inlineStr">
        <is>
          <t>b</t>
        </is>
      </c>
      <c r="C168" s="2" t="inlineStr">
        <is>
          <t>RDT អាចមាន sensitivity ទាបនៅពេល parasite density ទាប</t>
        </is>
      </c>
      <c r="D168" s="2" t="n"/>
      <c r="E168" s="2" t="n"/>
    </row>
    <row r="169" ht="21.6" customHeight="1">
      <c r="A169" s="2" t="inlineStr">
        <is>
          <t>q7</t>
        </is>
      </c>
      <c r="B169" s="2" t="inlineStr">
        <is>
          <t>c</t>
        </is>
      </c>
      <c r="C169" s="2" t="inlineStr">
        <is>
          <t>RDT អាចបង្កើន parasite density</t>
        </is>
      </c>
      <c r="D169" s="2" t="n"/>
      <c r="E169" s="2" t="n"/>
    </row>
    <row r="170" ht="21.6" customHeight="1">
      <c r="A170" s="2" t="inlineStr">
        <is>
          <t>q7</t>
        </is>
      </c>
      <c r="B170" s="2" t="inlineStr">
        <is>
          <t>d</t>
        </is>
      </c>
      <c r="C170" s="2" t="inlineStr">
        <is>
          <t>RDT អាចកំណត់ species បានគ្រប់ករណី</t>
        </is>
      </c>
      <c r="D170" s="2" t="n"/>
      <c r="E170" s="2" t="n"/>
    </row>
    <row r="171" ht="43.2" customHeight="1">
      <c r="A171" s="2" t="inlineStr">
        <is>
          <t>q8</t>
        </is>
      </c>
      <c r="B171" s="2" t="inlineStr">
        <is>
          <t>a</t>
        </is>
      </c>
      <c r="C171" s="2" t="inlineStr">
        <is>
          <t>រក្សាទុកក្រោម -20°C</t>
        </is>
      </c>
      <c r="D171" s="2" t="n"/>
      <c r="E171" s="2" t="n"/>
    </row>
    <row r="172" ht="21.6" customHeight="1">
      <c r="A172" s="2" t="inlineStr">
        <is>
          <t>q8</t>
        </is>
      </c>
      <c r="B172" s="2" t="inlineStr">
        <is>
          <t>b</t>
        </is>
      </c>
      <c r="C172" s="2" t="inlineStr">
        <is>
          <t>រក្សាទុកតាមលក្ខខណ្ឌរបស់ក្រុមហ៊ុនផលិត និងមិនឱ្យលើស 40°C</t>
        </is>
      </c>
      <c r="D172" s="2" t="n"/>
      <c r="E172" s="2" t="n"/>
    </row>
    <row r="173" ht="21.6" customHeight="1">
      <c r="A173" s="2" t="inlineStr">
        <is>
          <t>q8</t>
        </is>
      </c>
      <c r="B173" s="2" t="inlineStr">
        <is>
          <t>c</t>
        </is>
      </c>
      <c r="C173" s="2" t="inlineStr">
        <is>
          <t>ដាក់ក្នុងទឹកកកជានិច្ច</t>
        </is>
      </c>
      <c r="D173" s="2" t="n"/>
      <c r="E173" s="2" t="n"/>
    </row>
    <row r="174" ht="21.6" customHeight="1">
      <c r="A174" s="2" t="inlineStr">
        <is>
          <t>q8</t>
        </is>
      </c>
      <c r="B174" s="2" t="inlineStr">
        <is>
          <t>d</t>
        </is>
      </c>
      <c r="C174" s="2" t="inlineStr">
        <is>
          <t>ដាក់ក្រោមពន្លឺថ្ងៃ</t>
        </is>
      </c>
      <c r="D174" s="2" t="n"/>
      <c r="E174" s="2" t="n"/>
    </row>
    <row r="175" ht="43.2" customHeight="1">
      <c r="A175" s="2" t="inlineStr">
        <is>
          <t>q9</t>
        </is>
      </c>
      <c r="B175" s="2" t="inlineStr">
        <is>
          <t>a</t>
        </is>
      </c>
      <c r="C175" s="2" t="inlineStr">
        <is>
          <t>មិនចាំបាច់កត់ត្រា</t>
        </is>
      </c>
      <c r="D175" s="2" t="n"/>
      <c r="E175" s="2" t="n"/>
    </row>
    <row r="176" ht="21.6" customHeight="1">
      <c r="A176" s="2" t="inlineStr">
        <is>
          <t>q9</t>
        </is>
      </c>
      <c r="B176" s="2" t="inlineStr">
        <is>
          <t>b</t>
        </is>
      </c>
      <c r="C176" s="2" t="inlineStr">
        <is>
          <t>បញ្ជាក់ និងគ្រប់គ្រងករណីតាម National Treatment Guidelines និងប្រព័ន្ធរាយការណ៍</t>
        </is>
      </c>
      <c r="D176" s="2" t="n"/>
      <c r="E176" s="2" t="n"/>
    </row>
    <row r="177" ht="21.6" customHeight="1">
      <c r="A177" s="2" t="inlineStr">
        <is>
          <t>q9</t>
        </is>
      </c>
      <c r="B177" s="2" t="inlineStr">
        <is>
          <t>c</t>
        </is>
      </c>
      <c r="C177" s="2" t="inlineStr">
        <is>
          <t>បោះចោលលទ្ធផល</t>
        </is>
      </c>
      <c r="D177" s="2" t="n"/>
      <c r="E177" s="2" t="n"/>
    </row>
    <row r="178" ht="43.2" customHeight="1">
      <c r="A178" s="2" t="inlineStr">
        <is>
          <t>q9</t>
        </is>
      </c>
      <c r="B178" s="2" t="inlineStr">
        <is>
          <t>d</t>
        </is>
      </c>
      <c r="C178" s="2" t="inlineStr">
        <is>
          <t>រង់ចាំឱ្យអ្នកជំងឺមានរោគសញ្ញាធ្ងន់</t>
        </is>
      </c>
      <c r="D178" s="2" t="n"/>
      <c r="E178" s="2" t="n"/>
    </row>
    <row r="179" ht="21.6" customHeight="1">
      <c r="A179" s="2" t="inlineStr">
        <is>
          <t>q10</t>
        </is>
      </c>
      <c r="B179" s="2" t="inlineStr">
        <is>
          <t>a</t>
        </is>
      </c>
      <c r="C179" s="2" t="inlineStr">
        <is>
          <t>G6PD testing និង Radical Cure តាម National Treatment Guidelines</t>
        </is>
      </c>
      <c r="D179" s="2" t="n"/>
      <c r="E179" s="2" t="n"/>
    </row>
    <row r="180" ht="21.6" customHeight="1">
      <c r="A180" s="2" t="inlineStr">
        <is>
          <t>q10</t>
        </is>
      </c>
      <c r="B180" s="2" t="inlineStr">
        <is>
          <t>b</t>
        </is>
      </c>
      <c r="C180" s="2" t="inlineStr">
        <is>
          <t>Dengue vaccination</t>
        </is>
      </c>
      <c r="D180" s="2" t="n"/>
      <c r="E180" s="2" t="n"/>
    </row>
    <row r="181" ht="21.6" customHeight="1">
      <c r="A181" s="2" t="inlineStr">
        <is>
          <t>q10</t>
        </is>
      </c>
      <c r="B181" s="2" t="inlineStr">
        <is>
          <t>c</t>
        </is>
      </c>
      <c r="C181" s="2" t="inlineStr">
        <is>
          <t>Blood pressure monitoring តែប៉ុណ្ណោះ</t>
        </is>
      </c>
      <c r="D181" s="2" t="n"/>
      <c r="E181" s="2" t="n"/>
    </row>
    <row r="182" ht="21.6" customHeight="1">
      <c r="A182" s="2" t="inlineStr">
        <is>
          <t>q10</t>
        </is>
      </c>
      <c r="B182" s="2" t="inlineStr">
        <is>
          <t>d</t>
        </is>
      </c>
      <c r="C182" s="2" t="inlineStr">
        <is>
          <t>មិនចាំបាច់ព្យាបាលបន្ថែមទេ</t>
        </is>
      </c>
      <c r="D182" s="2" t="n"/>
      <c r="E182" s="2" t="n"/>
    </row>
    <row r="183" ht="21.6" customHeight="1">
      <c r="A183" s="2" t="inlineStr">
        <is>
          <t>q11</t>
        </is>
      </c>
      <c r="B183" s="2" t="inlineStr">
        <is>
          <t>a</t>
        </is>
      </c>
      <c r="C183" s="2" t="inlineStr">
        <is>
          <t>ចំនួនអ្នកជំងឺក្នុងមួយថ្ងៃតែប៉ុណ្ណោះ</t>
        </is>
      </c>
      <c r="D183" s="2" t="n"/>
      <c r="E183" s="2" t="n"/>
    </row>
    <row r="184" ht="21.6" customHeight="1">
      <c r="A184" s="2" t="inlineStr">
        <is>
          <t>q11</t>
        </is>
      </c>
      <c r="B184" s="2" t="inlineStr">
        <is>
          <t>b</t>
        </is>
      </c>
      <c r="C184" s="2" t="inlineStr">
        <is>
          <t>លក្ខខណ្ឌរក្សាទុក RDT និងសីតុណ្ហភាព</t>
        </is>
      </c>
      <c r="D184" s="2" t="n"/>
      <c r="E184" s="2" t="n"/>
    </row>
    <row r="185" ht="21.6" customHeight="1">
      <c r="A185" s="2" t="inlineStr">
        <is>
          <t>q11</t>
        </is>
      </c>
      <c r="B185" s="2" t="inlineStr">
        <is>
          <t>c</t>
        </is>
      </c>
      <c r="C185" s="2" t="inlineStr">
        <is>
          <t>ចំនួនបុគ្គលិករដ្ឋបាល</t>
        </is>
      </c>
      <c r="D185" s="2" t="n"/>
      <c r="E185" s="2" t="n"/>
    </row>
    <row r="186" ht="21.6" customHeight="1">
      <c r="A186" s="2" t="inlineStr">
        <is>
          <t>q11</t>
        </is>
      </c>
      <c r="B186" s="2" t="inlineStr">
        <is>
          <t>d</t>
        </is>
      </c>
      <c r="C186" s="2" t="inlineStr">
        <is>
          <t>ចំនួនគ្រែអ្នកជំងឺ</t>
        </is>
      </c>
      <c r="D186" s="2" t="n"/>
      <c r="E186" s="2" t="n"/>
    </row>
    <row r="187" ht="43.2" customHeight="1">
      <c r="A187" s="2" t="inlineStr">
        <is>
          <t>q12</t>
        </is>
      </c>
      <c r="B187" s="2" t="inlineStr">
        <is>
          <t>a</t>
        </is>
      </c>
      <c r="C187" s="2" t="inlineStr">
        <is>
          <t>ដើម្បីដឹងថាប្រអប់មានពណ៌អ្វី</t>
        </is>
      </c>
      <c r="D187" s="2" t="n"/>
      <c r="E187" s="2" t="n"/>
    </row>
    <row r="188" ht="21.6" customHeight="1">
      <c r="A188" s="2" t="inlineStr">
        <is>
          <t>q12</t>
        </is>
      </c>
      <c r="B188" s="2" t="inlineStr">
        <is>
          <t>b</t>
        </is>
      </c>
      <c r="C188" s="2" t="inlineStr">
        <is>
          <t>ដើម្បីធានាថា RDT មានសុពលភាព និងអាច trace បាន ប្រសិនបើមានបញ្ហាគុណភាព</t>
        </is>
      </c>
      <c r="D188" s="2" t="n"/>
      <c r="E188" s="2" t="n"/>
    </row>
    <row r="189" ht="21.6" customHeight="1">
      <c r="A189" s="2" t="inlineStr">
        <is>
          <t>q12</t>
        </is>
      </c>
      <c r="B189" s="2" t="inlineStr">
        <is>
          <t>c</t>
        </is>
      </c>
      <c r="C189" s="2" t="inlineStr">
        <is>
          <t>ដើម្បីកំណត់ចំនួនអ្នកជំងឺ</t>
        </is>
      </c>
      <c r="D189" s="2" t="n"/>
      <c r="E189" s="2" t="n"/>
    </row>
    <row r="190" ht="21.6" customHeight="1">
      <c r="A190" s="2" t="inlineStr">
        <is>
          <t>q12</t>
        </is>
      </c>
      <c r="B190" s="2" t="inlineStr">
        <is>
          <t>d</t>
        </is>
      </c>
      <c r="C190" s="2" t="inlineStr">
        <is>
          <t>ដើម្បីកំណត់ប្រភេទថ្នាំព្យាបាល</t>
        </is>
      </c>
      <c r="D190" s="2" t="n"/>
      <c r="E190" s="2" t="n"/>
    </row>
    <row r="191" ht="21.6" customHeight="1">
      <c r="A191" s="2" t="inlineStr">
        <is>
          <t>q13</t>
        </is>
      </c>
      <c r="B191" s="2" t="inlineStr">
        <is>
          <t>a</t>
        </is>
      </c>
      <c r="C191" s="2" t="inlineStr">
        <is>
          <t>ប្រើប្រាស់បន្តដោយមិនចាំបាច់ពិនិត្យ</t>
        </is>
      </c>
      <c r="D191" s="2" t="n"/>
      <c r="E191" s="2" t="n"/>
    </row>
    <row r="192" ht="43.2" customHeight="1">
      <c r="A192" s="2" t="inlineStr">
        <is>
          <t>q13</t>
        </is>
      </c>
      <c r="B192" s="2" t="inlineStr">
        <is>
          <t>b</t>
        </is>
      </c>
      <c r="C192" s="2" t="inlineStr">
        <is>
          <t>បោះចោល RDT ទាំងអស់ភ្លាមៗ</t>
        </is>
      </c>
      <c r="D192" s="2" t="n"/>
      <c r="E192" s="2" t="n"/>
    </row>
    <row r="193" ht="21.6" customHeight="1">
      <c r="A193" s="2" t="inlineStr">
        <is>
          <t>q13</t>
        </is>
      </c>
      <c r="B193" s="2" t="inlineStr">
        <is>
          <t>c</t>
        </is>
      </c>
      <c r="C193" s="2" t="inlineStr">
        <is>
          <t>កត់ត្រាបញ្ហា ពិនិត្យផលប៉ះពាល់លើគុណភាព និងអនុវត្តតាម SOP/ការណែនាំ QA</t>
        </is>
      </c>
      <c r="D193" s="2" t="n"/>
      <c r="E193" s="2" t="n"/>
    </row>
    <row r="194" ht="43.2" customHeight="1">
      <c r="A194" s="2" t="inlineStr">
        <is>
          <t>q13</t>
        </is>
      </c>
      <c r="B194" s="2" t="inlineStr">
        <is>
          <t>d</t>
        </is>
      </c>
      <c r="C194" s="2" t="inlineStr">
        <is>
          <t>ដាក់នៅក្នុងទូទឹកកកភ្លាមៗ ហើយប្រើបន្ត</t>
        </is>
      </c>
      <c r="D194" s="2" t="n"/>
      <c r="E194" s="2" t="n"/>
    </row>
    <row r="195" ht="21.6" customHeight="1">
      <c r="A195" s="2" t="inlineStr">
        <is>
          <t>q14</t>
        </is>
      </c>
      <c r="B195" s="2" t="inlineStr">
        <is>
          <t>a</t>
        </is>
      </c>
      <c r="C195" s="2" t="inlineStr">
        <is>
          <t>អនុវត្តតាម SOP/IFU ត្រឹមត្រូវ រួមទាំងបរិមាណឈាម បរិមាណ buffer និងពេលអានលទ្ធផល</t>
        </is>
      </c>
      <c r="D195" s="2" t="n"/>
      <c r="E195" s="2" t="n"/>
    </row>
    <row r="196" ht="21.6" customHeight="1">
      <c r="A196" s="2" t="inlineStr">
        <is>
          <t>q14</t>
        </is>
      </c>
      <c r="B196" s="2" t="inlineStr">
        <is>
          <t>b</t>
        </is>
      </c>
      <c r="C196" s="2" t="inlineStr">
        <is>
          <t>អានលទ្ធផលនៅពេលណាក៏បាន</t>
        </is>
      </c>
      <c r="D196" s="2" t="n"/>
      <c r="E196" s="2" t="n"/>
    </row>
    <row r="197" ht="21.6" customHeight="1">
      <c r="A197" s="2" t="inlineStr">
        <is>
          <t>q14</t>
        </is>
      </c>
      <c r="B197" s="2" t="inlineStr">
        <is>
          <t>c</t>
        </is>
      </c>
      <c r="C197" s="2" t="inlineStr">
        <is>
          <t>ប្រើ RDT ដោយមិនចាំបាច់ពិនិត្យ expiry date</t>
        </is>
      </c>
      <c r="D197" s="2" t="n"/>
      <c r="E197" s="2" t="n"/>
    </row>
    <row r="198" ht="21.6" customHeight="1">
      <c r="A198" s="2" t="inlineStr">
        <is>
          <t>q14</t>
        </is>
      </c>
      <c r="B198" s="2" t="inlineStr">
        <is>
          <t>d</t>
        </is>
      </c>
      <c r="C198" s="2" t="inlineStr">
        <is>
          <t>ប្រើ buffer ពី kit ផ្សេងគ្នា</t>
        </is>
      </c>
      <c r="D198" s="2" t="n"/>
      <c r="E198" s="2" t="n"/>
    </row>
    <row r="199" ht="43.2" customHeight="1">
      <c r="A199" s="2" t="inlineStr">
        <is>
          <t>q15</t>
        </is>
      </c>
      <c r="B199" s="2" t="inlineStr">
        <is>
          <t>a</t>
        </is>
      </c>
      <c r="C199" s="2" t="inlineStr">
        <is>
          <t>មិនចាំបាច់កត់ត្រា ព្រោះជាកំហុសតូចតាច</t>
        </is>
      </c>
      <c r="D199" s="2" t="n"/>
      <c r="E199" s="2" t="n"/>
    </row>
    <row r="200" ht="21.6" customHeight="1">
      <c r="A200" s="2" t="inlineStr">
        <is>
          <t>q15</t>
        </is>
      </c>
      <c r="B200" s="2" t="inlineStr">
        <is>
          <t>b</t>
        </is>
      </c>
      <c r="C200" s="2" t="inlineStr">
        <is>
          <t>កត់ត្រា និងរាយការណ៍ បញ្ជាក់ Lot/Expiry និងស្ថានភាពរក្សាទុក ហើយចាត់វិធានការកែតម្រូវតាម QA system</t>
        </is>
      </c>
      <c r="D200" s="2" t="n"/>
      <c r="E200" s="2" t="n"/>
    </row>
    <row r="201" ht="21.6" customHeight="1">
      <c r="A201" s="2" t="inlineStr">
        <is>
          <t>q15</t>
        </is>
      </c>
      <c r="B201" s="2" t="inlineStr">
        <is>
          <t>c</t>
        </is>
      </c>
      <c r="C201" s="2" t="inlineStr">
        <is>
          <t>ប្ដូរលទ្ធផលឱ្យស្របតាម microscopy</t>
        </is>
      </c>
      <c r="D201" s="2" t="n"/>
      <c r="E201" s="2" t="n"/>
    </row>
    <row r="202">
      <c r="A202" s="2" t="inlineStr">
        <is>
          <t>q15</t>
        </is>
      </c>
      <c r="B202" s="2" t="inlineStr">
        <is>
          <t>d</t>
        </is>
      </c>
      <c r="C202" s="2" t="inlineStr">
        <is>
          <t>បន្តប្រើ RDT ដោយមិនធ្វើអ្វី</t>
        </is>
      </c>
      <c r="D202" s="2" t="n"/>
      <c r="E202" s="2" t="n"/>
    </row>
  </sheetData>
  <autoFilter ref="A1:E201">
    <filterColumn colId="2" hiddenButton="0" showButton="1">
      <filters>
        <filter val="Amleang"/>
        <filter val="Anlong Veng"/>
        <filter val="Anluong Chrey"/>
        <filter val="Balaing"/>
        <filter val="Banteay Chhmar"/>
        <filter val="Banteay Srey"/>
        <filter val="Bat"/>
        <filter val="Beung Trakuon"/>
        <filter val="Blood pressure monitoring តែប៉ុណ្ណោះ"/>
        <filter val="Chambak"/>
        <filter val="Chamkar Leu"/>
        <filter val="Chamreun"/>
        <filter val="Cheung Roas Samaki"/>
        <filter val="Chheb"/>
        <filter val="Chheu Teal Korng"/>
        <filter val="Chhoun"/>
        <filter val="Chikreng"/>
        <filter val="Chrach"/>
        <filter val="Damnak Damrei"/>
        <filter val="Dengue NS1 និង IgM"/>
        <filter val="Dengue vaccination"/>
        <filter val="Dom Kvet"/>
        <filter val="Duan Sok"/>
        <filter val="G6PD testing និង Radical Cure តាម National Treatment Guidelines"/>
        <filter val="G6PD និង Hb"/>
        <filter val="Hb និង WBC"/>
        <filter val="HC (Health Center Staff)"/>
        <filter val="HRP2 និង pLDH"/>
        <filter val="Kamphun"/>
        <filter val="Kampong Khlaing"/>
        <filter val="Kampong Srorlao"/>
        <filter val="Kampong Thkov"/>
        <filter val="Kantout"/>
        <filter val="Kaun Kriel"/>
        <filter val="Kbal Romeas"/>
        <filter val="Khna Po"/>
        <filter val="Khnang Phnom"/>
        <filter val="Khun Ream"/>
        <filter val="Khvav"/>
        <filter val="Koh Ke"/>
        <filter val="Koh Sralay"/>
        <filter val="Kok Thlok Kraum"/>
        <filter val="Kokthlok Leu"/>
        <filter val="Kork Daung"/>
        <filter val="Koulen"/>
        <filter val="Krosang Chek"/>
        <filter val="Krouch Meas"/>
        <filter val="Maung"/>
        <filter val="Mluo Prey"/>
        <filter val="Monor Rung Roeang"/>
        <filter val="Nam Tau"/>
        <filter val="Nimith"/>
        <filter val="O Krouch"/>
        <filter val="O srorlao"/>
        <filter val="ODMS (Operational District Malaria Supervisor)"/>
        <filter val="Oral"/>
        <filter val="Ou Bei Choan"/>
        <filter val="Ou Ruessei 2"/>
        <filter val="Ou Smach"/>
        <filter val="Ou Svay"/>
        <filter val="P. falciparum"/>
        <filter val="P. malariae"/>
        <filter val="P. ovale"/>
        <filter val="P. vivax"/>
        <filter val="Peak Sneng"/>
        <filter val="Peuk"/>
        <filter val="Phnom Dek"/>
        <filter val="PMS (Provincial Malaria Supervisor)"/>
        <filter val="Pong Ro Leu"/>
        <filter val="Pongro Kraum"/>
        <filter val="Popel"/>
        <filter val="Popel SenChey"/>
        <filter val="Prame"/>
        <filter val="Preah Rumkel"/>
        <filter val="Prek Meas"/>
        <filter val="Prey"/>
        <filter val="Prey Chumpou Mean Ang"/>
        <filter val="Psar Kandal"/>
        <filter val="RDT អាចកំណត់ species បានគ្រប់ករណី"/>
        <filter val="RDT អាចបង្កើន parasite density"/>
        <filter val="RDT អាចមាន sensitivity ទាបនៅពេល parasite density ទាប"/>
        <filter val="RDT អាចរកឃើញមេរោគគ្រប់កម្រិត"/>
        <filter val="Reusseilok"/>
        <filter val="Roleak Kongcheung"/>
        <filter val="Rolous"/>
        <filter val="Ronak Se"/>
        <filter val="Rovieng"/>
        <filter val="Samaki"/>
        <filter val="Sambour"/>
        <filter val="Samroung romduol"/>
        <filter val="Samroung Senchey"/>
        <filter val="Santepheap"/>
        <filter val="Sdok"/>
        <filter val="Sen Rong Reoung 1"/>
        <filter val="Sen Rung Reoung 4"/>
        <filter val="Sen Sok"/>
        <filter val="Siem Bouk"/>
        <filter val="Siem Pang"/>
        <filter val="Sleng Spean"/>
        <filter val="Sranal"/>
        <filter val="Sre Krasaing"/>
        <filter val="Sre Sambo"/>
        <filter val="Srenoy"/>
        <filter val="Srey Snam"/>
        <filter val="Stung Treng"/>
        <filter val="Svay Chochep"/>
        <filter val="Svay Leu"/>
        <filter val="Ta An"/>
        <filter val="Ta Lat"/>
        <filter val="Ta Yek"/>
        <filter val="Takeoung"/>
        <filter val="Tang Somrong"/>
        <filter val="Tbeng"/>
        <filter val="Tboung khla"/>
        <filter val="Thalaborivat"/>
        <filter val="Traeng Trayueng"/>
        <filter val="Tram Sasar"/>
        <filter val="Trapaing Prey"/>
        <filter val="Trapeang Chour"/>
        <filter val="Trapeang Kraloeung"/>
        <filter val="Trapeang Prasat"/>
        <filter val="Tumnup Dach"/>
        <filter val="Tuol Pongro"/>
        <filter val="Tuol Sala"/>
        <filter val="Veal Denh"/>
        <filter val="Yeang"/>
        <filter val="កត់ត្រា និងរាយការណ៍ បញ្ជាក់ Lot/Expiry និងស្ថានភាពរក្សាទុក ហើយចាត់វិធានការកែតម្រូវតាម QA system"/>
        <filter val="កត់ត្រាបញ្ហា ពិនិត្យផលប៉ះពាល់លើគុណភាព និងអនុវត្តតាម SOP/ការណែនាំ QA"/>
        <filter val="ក្រឡាញ់"/>
        <filter val="កំពង់ស្ពឺ"/>
        <filter val="គងពិសី"/>
        <filter val="ចាប់ផ្ដើមថ្នាំគ្រុនចាញ់គ្រប់ករណី"/>
        <filter val="ចំនួនគ្រែអ្នកជំងឺ"/>
        <filter val="ចំនួនបុគ្គលិករដ្ឋបាល"/>
        <filter val="ចំនួនអ្នកជំងឺក្នុងមួយថ្ងៃតែប៉ុណ្ណោះ"/>
        <filter val="ឈាមទាំងមូល (Whole blood)"/>
        <filter val="ដាក់ក្នុងទឹកកកជានិច្ច"/>
        <filter val="ដាក់ក្រោមពន្លឺថ្ងៃ"/>
        <filter val="ដាក់នៅក្នុងទូទឹកកកភ្លាមៗ ហើយប្រើបន្ត"/>
        <filter val="ដើម្បីកំណត់ចំនួនអ្នកជំងឺ"/>
        <filter val="ដើម្បីកំណត់ប្រភេទថ្នាំព្យាបាល"/>
        <filter val="ដើម្បីដឹងថាប្រអប់មានពណ៌អ្វី"/>
        <filter val="ដើម្បីធានាថា RDT មានសុពលភាព និងអាច trace បាន ប្រសិនបើមានបញ្ហាគុណភាព"/>
        <filter val="តេស្តក្រោយការបណ្ដុះបណ្ដាល"/>
        <filter val="តេស្តមុនការបណ្ដុះបណ្ដាល"/>
        <filter val="ត្បែងមានជ័យ"/>
        <filter val="ថ្មពួក"/>
        <filter val="ទឹកខួរឆ្អឹងខ្នង"/>
        <filter val="ទឹកនោម"/>
        <filter val="ទឹកមាត់"/>
        <filter val="បញ្ជាក់ និងគ្រប់គ្រងករណីតាម National Treatment Guidelines និងប្រព័ន្ធរាយការណ៍"/>
        <filter val="បដិសេធជំងឺគ្រុនចាញ់ភ្លាមៗ"/>
        <filter val="បន្តប្រើ RDT ដោយមិនធ្វើអ្វី"/>
        <filter val="បន្ទាយមានជ័យ"/>
        <filter val="ប៉ោយប៉ែត"/>
        <filter val="បោះចោល RDT ទាំងអស់ភ្លាមៗ"/>
        <filter val="បោះចោលលទ្ធផល"/>
        <filter val="ប្ដូរលទ្ធផលឱ្យស្របតាម microscopy"/>
        <filter val="ប្រើ buffer ពី kit ផ្សេងគ្នា"/>
        <filter val="ប្រើ RDT ដោយមិនចាំបាច់ពិនិត្យ expiry date"/>
        <filter val="ប្រើប្រាស់បន្តដោយមិនចាំបាច់ពិនិត្យ"/>
        <filter val="ពិចារណាពិនិត្យបញ្ជាក់បន្ថែម ដូចជា microscopy តាមការចង្អុលបង្ហាញ"/>
        <filter val="ព្រះនេត្រព្រះ"/>
        <filter val="ព្រះវិហារ"/>
        <filter val="ភ្នំស្រួច"/>
        <filter val="ម៉ាឡៃ"/>
        <filter val="មិនចាំបាច់កត់ត្រា"/>
        <filter val="មិនចាំបាច់កត់ត្រា ព្រោះជាកំហុសតូចតាច"/>
        <filter val="មិនចាំបាច់ពិនិត្យបន្ថែម"/>
        <filter val="មិនចាំបាច់ព្យាបាលបន្ថែមទេ"/>
        <filter val="រកឃើញជំងឺគ្រុនឈាម"/>
        <filter val="រកឃើញតែមេរោគ P. falciparum"/>
        <filter val="រកឃើញមេរោគគ្រុនចាញ់ជាច្រើនប្រភេទ"/>
        <filter val="រកឃើញអង់ទីហ្សែនរបស់មេរោគគ្រុនចាញ់ក្នុងឈាម"/>
        <filter val="រក្សាទុកក្រោម -20°C"/>
        <filter val="រក្សាទុកតាមលក្ខខណ្ឌរបស់ក្រុមហ៊ុនផលិត និងមិនឱ្យលើស 40°C"/>
        <filter val="រង់ចាំឱ្យអ្នកជំងឺមានរោគសញ្ញាធ្ងន់"/>
        <filter val="លក្ខខណ្ឌរក្សាទុក RDT និងសីតុណ្ហភាព"/>
        <filter val="វាស់កម្រិត G6PD"/>
        <filter val="វាស់កម្រិត Hb"/>
        <filter val="វាស់ជាតិស្ករក្នុងឈាម"/>
        <filter val="វាស់សម្ពាធឈាម"/>
        <filter val="សូទ្រនិគម"/>
        <filter val="សៀមរាប"/>
        <filter val="ស្ទឹងត្រែង"/>
        <filter val="សំរោង"/>
        <filter val="អង្គរជុំ"/>
        <filter val="ឧដ្តុង"/>
        <filter val="ឧត្តរមានជ័យ"/>
        <filter val="អនុវត្តតាម SOP/IFU ត្រឹមត្រូវ រួមទាំងបរិមាណឈាម បរិមាណ buffer និងពេលអានលទ្ធផល"/>
        <filter val="អន្លង់វែង"/>
        <filter val="អានលទ្ធផលនៅពេលណាក៏បាន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34" customWidth="1" min="1" max="1"/>
    <col width="30" customWidth="1" min="2" max="2"/>
    <col width="16" customWidth="1" min="3" max="3"/>
    <col width="10" customWidth="1" min="4" max="4"/>
  </cols>
  <sheetData>
    <row r="1" ht="43.2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default_language</t>
        </is>
      </c>
      <c r="D1" s="1" t="inlineStr">
        <is>
          <t>style</t>
        </is>
      </c>
    </row>
    <row r="2" ht="43.2" customHeight="1">
      <c r="A2" s="2" t="inlineStr">
        <is>
          <t>ការធ្វើតេស្តចំណេះដឹង RDT Pre-Post (CNM)</t>
        </is>
      </c>
      <c r="B2" s="2" t="inlineStr">
        <is>
          <t>cnm_rdt_pre_post_test</t>
        </is>
      </c>
      <c r="C2" s="2" t="inlineStr">
        <is>
          <t>Khmer (km)</t>
        </is>
      </c>
      <c r="D2" s="2" t="inlineStr">
        <is>
          <t>pages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="80" zoomScaleNormal="80" workbookViewId="0">
      <pane ySplit="5" topLeftCell="A6" activePane="bottomLeft" state="frozen"/>
      <selection pane="bottomLeft" activeCell="D27" sqref="D27"/>
    </sheetView>
  </sheetViews>
  <sheetFormatPr baseColWidth="8" defaultRowHeight="14.4"/>
  <cols>
    <col width="20.33203125" customWidth="1" min="1" max="1"/>
    <col width="10.21875" customWidth="1" min="2" max="2"/>
    <col width="20.33203125" customWidth="1" min="3" max="3"/>
    <col width="13.88671875" customWidth="1" min="4" max="4"/>
    <col width="3.6640625" customWidth="1" min="5" max="5"/>
    <col width="72.77734375" bestFit="1" customWidth="1" min="6" max="6"/>
    <col width="14.44140625" customWidth="1" min="7" max="12"/>
  </cols>
  <sheetData>
    <row r="1" ht="18" customHeight="1">
      <c r="A1" s="3" t="inlineStr">
        <is>
          <t>RDT Pre/Post Test — Participant Coverage vs. Form Choice Lists</t>
        </is>
      </c>
    </row>
    <row r="2">
      <c r="A2" s="4" t="inlineStr">
        <is>
          <t>Expected counts from planning table; HC counts computed from the 'choices' sheet</t>
        </is>
      </c>
    </row>
    <row r="4">
      <c r="A4" s="5" t="inlineStr">
        <is>
          <t>OD-level detail</t>
        </is>
      </c>
      <c r="F4" s="5" t="inlineStr">
        <is>
          <t>Province summary — expected vs. form</t>
        </is>
      </c>
    </row>
    <row r="5" ht="30" customHeight="1">
      <c r="A5" s="6" t="inlineStr">
        <is>
          <t>Province</t>
        </is>
      </c>
      <c r="B5" s="7" t="inlineStr">
        <is>
          <t>OD ID</t>
        </is>
      </c>
      <c r="C5" s="7" t="inlineStr">
        <is>
          <t>OD (Khmer)</t>
        </is>
      </c>
      <c r="D5" s="8" t="inlineStr">
        <is>
          <t>HC in form</t>
        </is>
      </c>
      <c r="F5" s="6" t="inlineStr">
        <is>
          <t>Province</t>
        </is>
      </c>
      <c r="G5" s="25" t="inlineStr">
        <is>
          <t>PMS</t>
        </is>
      </c>
      <c r="H5" s="25" t="inlineStr">
        <is>
          <t>ODMS</t>
        </is>
      </c>
      <c r="I5" s="25" t="inlineStr">
        <is>
          <t>HC (expected)</t>
        </is>
      </c>
      <c r="J5" s="25" t="inlineStr">
        <is>
          <t>HC (in form)</t>
        </is>
      </c>
      <c r="K5" s="25" t="inlineStr">
        <is>
          <t>Gap</t>
        </is>
      </c>
      <c r="L5" s="26" t="inlineStr">
        <is>
          <t>Expected total</t>
        </is>
      </c>
    </row>
    <row r="6">
      <c r="A6" s="9" t="inlineStr">
        <is>
          <t>Stung Treng</t>
        </is>
      </c>
      <c r="B6" s="10" t="inlineStr">
        <is>
          <t>od_1</t>
        </is>
      </c>
      <c r="C6" s="10">
        <f>IFERROR(INDEX(choices!$C$2:$C$201,MATCH($B6,choices!$B$2:$B$201,0)),"")</f>
        <v/>
      </c>
      <c r="D6" s="22">
        <f>COUNTIFS(choices!$A$2:$A$201,"hc",choices!$E$2:$E$201,$B6)</f>
        <v/>
      </c>
      <c r="F6" s="9" t="inlineStr">
        <is>
          <t>Stung Treng</t>
        </is>
      </c>
      <c r="G6" s="15" t="n">
        <v>1</v>
      </c>
      <c r="H6" s="15" t="n">
        <v>1</v>
      </c>
      <c r="I6" s="15" t="n">
        <v>18</v>
      </c>
      <c r="J6" s="16">
        <f>SUMIFS($D$6:$D$21,$A$6:$A$21,$F6)</f>
        <v/>
      </c>
      <c r="K6" s="17">
        <f>J6-I6</f>
        <v/>
      </c>
      <c r="L6" s="18">
        <f>G6+H6+I6</f>
        <v/>
      </c>
    </row>
    <row r="7">
      <c r="A7" s="9" t="inlineStr">
        <is>
          <t>Preah Vihear</t>
        </is>
      </c>
      <c r="B7" s="10" t="inlineStr">
        <is>
          <t>od_2</t>
        </is>
      </c>
      <c r="C7" s="10">
        <f>IFERROR(INDEX(choices!$C$2:$C$201,MATCH($B7,choices!$B$2:$B$201,0)),"")</f>
        <v/>
      </c>
      <c r="D7" s="22">
        <f>COUNTIFS(choices!$A$2:$A$201,"hc",choices!$E$2:$E$201,$B7)</f>
        <v/>
      </c>
      <c r="F7" s="9" t="inlineStr">
        <is>
          <t>Preah Vihear</t>
        </is>
      </c>
      <c r="G7" s="15" t="n">
        <v>1</v>
      </c>
      <c r="H7" s="15" t="n">
        <v>1</v>
      </c>
      <c r="I7" s="15" t="n">
        <v>18</v>
      </c>
      <c r="J7" s="16">
        <f>SUMIFS($D$6:$D$21,$A$6:$A$21,$F7)</f>
        <v/>
      </c>
      <c r="K7" s="17">
        <f>J7-I7</f>
        <v/>
      </c>
      <c r="L7" s="18">
        <f>G7+H7+I7</f>
        <v/>
      </c>
    </row>
    <row r="8">
      <c r="A8" s="9" t="inlineStr">
        <is>
          <t>Siem Reap</t>
        </is>
      </c>
      <c r="B8" s="10" t="inlineStr">
        <is>
          <t>od_3</t>
        </is>
      </c>
      <c r="C8" s="10">
        <f>IFERROR(INDEX(choices!$C$2:$C$201,MATCH($B8,choices!$B$2:$B$201,0)),"")</f>
        <v/>
      </c>
      <c r="D8" s="22">
        <f>COUNTIFS(choices!$A$2:$A$201,"hc",choices!$E$2:$E$201,$B8)</f>
        <v/>
      </c>
      <c r="F8" s="9" t="inlineStr">
        <is>
          <t>Siem Reap</t>
        </is>
      </c>
      <c r="G8" s="15" t="n">
        <v>1</v>
      </c>
      <c r="H8" s="15" t="n">
        <v>4</v>
      </c>
      <c r="I8" s="15" t="n">
        <v>34</v>
      </c>
      <c r="J8" s="16">
        <f>SUMIFS($D$6:$D$21,$A$6:$A$21,$F8)</f>
        <v/>
      </c>
      <c r="K8" s="24">
        <f>J8-I8</f>
        <v/>
      </c>
      <c r="L8" s="18">
        <f>G8+H8+I8</f>
        <v/>
      </c>
    </row>
    <row r="9">
      <c r="A9" s="9" t="inlineStr">
        <is>
          <t>Siem Reap</t>
        </is>
      </c>
      <c r="B9" s="10" t="inlineStr">
        <is>
          <t>od_4</t>
        </is>
      </c>
      <c r="C9" s="10">
        <f>IFERROR(INDEX(choices!$C$2:$C$201,MATCH($B9,choices!$B$2:$B$201,0)),"")</f>
        <v/>
      </c>
      <c r="D9" s="22">
        <f>COUNTIFS(choices!$A$2:$A$201,"hc",choices!$E$2:$E$201,$B9)</f>
        <v/>
      </c>
      <c r="F9" s="9" t="inlineStr">
        <is>
          <t>Oddar Meanchey</t>
        </is>
      </c>
      <c r="G9" s="15" t="n">
        <v>1</v>
      </c>
      <c r="H9" s="15" t="n">
        <v>2</v>
      </c>
      <c r="I9" s="15" t="n">
        <v>10</v>
      </c>
      <c r="J9" s="16">
        <f>SUMIFS($D$6:$D$21,$A$6:$A$21,$F9)</f>
        <v/>
      </c>
      <c r="K9" s="24">
        <f>J9-I9</f>
        <v/>
      </c>
      <c r="L9" s="18">
        <f>G9+H9+I9</f>
        <v/>
      </c>
    </row>
    <row r="10">
      <c r="A10" s="9" t="inlineStr">
        <is>
          <t>Siem Reap</t>
        </is>
      </c>
      <c r="B10" s="10" t="inlineStr">
        <is>
          <t>od_5</t>
        </is>
      </c>
      <c r="C10" s="10">
        <f>IFERROR(INDEX(choices!$C$2:$C$201,MATCH($B10,choices!$B$2:$B$201,0)),"")</f>
        <v/>
      </c>
      <c r="D10" s="22">
        <f>COUNTIFS(choices!$A$2:$A$201,"hc",choices!$E$2:$E$201,$B10)</f>
        <v/>
      </c>
      <c r="F10" s="9" t="inlineStr">
        <is>
          <t>Banteay Meanchey</t>
        </is>
      </c>
      <c r="G10" s="15" t="n">
        <v>1</v>
      </c>
      <c r="H10" s="15" t="n">
        <v>4</v>
      </c>
      <c r="I10" s="15" t="n">
        <v>12</v>
      </c>
      <c r="J10" s="16">
        <f>SUMIFS($D$6:$D$21,$A$6:$A$21,$F10)</f>
        <v/>
      </c>
      <c r="K10" s="24">
        <f>J10-I10</f>
        <v/>
      </c>
      <c r="L10" s="18">
        <f>G10+H10+I10</f>
        <v/>
      </c>
    </row>
    <row r="11">
      <c r="A11" s="9" t="inlineStr">
        <is>
          <t>Siem Reap</t>
        </is>
      </c>
      <c r="B11" s="10" t="inlineStr">
        <is>
          <t>od_6</t>
        </is>
      </c>
      <c r="C11" s="10">
        <f>IFERROR(INDEX(choices!$C$2:$C$201,MATCH($B11,choices!$B$2:$B$201,0)),"")</f>
        <v/>
      </c>
      <c r="D11" s="22">
        <f>COUNTIFS(choices!$A$2:$A$201,"hc",choices!$E$2:$E$201,$B11)</f>
        <v/>
      </c>
      <c r="F11" s="9" t="inlineStr">
        <is>
          <t>Kampong Speu</t>
        </is>
      </c>
      <c r="G11" s="15" t="n">
        <v>1</v>
      </c>
      <c r="H11" s="15" t="n">
        <v>4</v>
      </c>
      <c r="I11" s="15" t="n">
        <v>19</v>
      </c>
      <c r="J11" s="16">
        <f>SUMIFS($D$6:$D$21,$A$6:$A$21,$F11)</f>
        <v/>
      </c>
      <c r="K11" s="24">
        <f>J11-I11</f>
        <v/>
      </c>
      <c r="L11" s="18">
        <f>G11+H11+I11</f>
        <v/>
      </c>
    </row>
    <row r="12">
      <c r="A12" s="9" t="inlineStr">
        <is>
          <t>Oddar Meanchey</t>
        </is>
      </c>
      <c r="B12" s="10" t="inlineStr">
        <is>
          <t>od_7</t>
        </is>
      </c>
      <c r="C12" s="10">
        <f>IFERROR(INDEX(choices!$C$2:$C$201,MATCH($B12,choices!$B$2:$B$201,0)),"")</f>
        <v/>
      </c>
      <c r="D12" s="22">
        <f>COUNTIFS(choices!$A$2:$A$201,"hc",choices!$E$2:$E$201,$B12)</f>
        <v/>
      </c>
      <c r="F12" s="13" t="inlineStr">
        <is>
          <t>Total</t>
        </is>
      </c>
      <c r="G12" s="14">
        <f>SUM(G6:G11)</f>
        <v/>
      </c>
      <c r="H12" s="14">
        <f>SUM(H6:H11)</f>
        <v/>
      </c>
      <c r="I12" s="14">
        <f>SUM(I6:I11)</f>
        <v/>
      </c>
      <c r="J12" s="19">
        <f>SUM(J6:J11)</f>
        <v/>
      </c>
      <c r="K12" s="20">
        <f>SUM(K6:K11)</f>
        <v/>
      </c>
      <c r="L12" s="21">
        <f>SUM(L6:L11)</f>
        <v/>
      </c>
    </row>
    <row r="13">
      <c r="A13" s="9" t="inlineStr">
        <is>
          <t>Oddar Meanchey</t>
        </is>
      </c>
      <c r="B13" s="10" t="inlineStr">
        <is>
          <t>od_8</t>
        </is>
      </c>
      <c r="C13" s="10">
        <f>IFERROR(INDEX(choices!$C$2:$C$201,MATCH($B13,choices!$B$2:$B$201,0)),"")</f>
        <v/>
      </c>
      <c r="D13" s="22">
        <f>COUNTIFS(choices!$A$2:$A$201,"hc",choices!$E$2:$E$201,$B13)</f>
        <v/>
      </c>
    </row>
    <row r="14">
      <c r="A14" s="9" t="inlineStr">
        <is>
          <t>Banteay Meanchey</t>
        </is>
      </c>
      <c r="B14" s="10" t="inlineStr">
        <is>
          <t>od_9</t>
        </is>
      </c>
      <c r="C14" s="10">
        <f>IFERROR(INDEX(choices!$C$2:$C$201,MATCH($B14,choices!$B$2:$B$201,0)),"")</f>
        <v/>
      </c>
      <c r="D14" s="22">
        <f>COUNTIFS(choices!$A$2:$A$201,"hc",choices!$E$2:$E$201,$B14)</f>
        <v/>
      </c>
      <c r="F14" s="5" t="inlineStr">
        <is>
          <t>Discrepancies to resolve</t>
        </is>
      </c>
    </row>
    <row r="15">
      <c r="A15" s="9" t="inlineStr">
        <is>
          <t>Banteay Meanchey</t>
        </is>
      </c>
      <c r="B15" s="10" t="inlineStr">
        <is>
          <t>od_10</t>
        </is>
      </c>
      <c r="C15" s="10">
        <f>IFERROR(INDEX(choices!$C$2:$C$201,MATCH($B15,choices!$B$2:$B$201,0)),"")</f>
        <v/>
      </c>
      <c r="D15" s="22">
        <f>COUNTIFS(choices!$A$2:$A$201,"hc",choices!$E$2:$E$201,$B15)</f>
        <v/>
      </c>
      <c r="F15" t="inlineStr">
        <is>
          <t>Siem Reap: form has 32 HC vs 34 expected (2 short) — Angkor Chum OD has only 3 HC</t>
        </is>
      </c>
    </row>
    <row r="16">
      <c r="A16" s="9" t="inlineStr">
        <is>
          <t>Banteay Meanchey</t>
        </is>
      </c>
      <c r="B16" s="10" t="inlineStr">
        <is>
          <t>od_11</t>
        </is>
      </c>
      <c r="C16" s="10">
        <f>IFERROR(INDEX(choices!$C$2:$C$201,MATCH($B16,choices!$B$2:$B$201,0)),"")</f>
        <v/>
      </c>
      <c r="D16" s="22">
        <f>COUNTIFS(choices!$A$2:$A$201,"hc",choices!$E$2:$E$201,$B16)</f>
        <v/>
      </c>
      <c r="F16" t="inlineStr">
        <is>
          <t>Oddar Meanchey: 9 vs 10 (1 short) — Samraong OD has only 3 HC</t>
        </is>
      </c>
    </row>
    <row r="17">
      <c r="A17" s="9" t="inlineStr">
        <is>
          <t>Banteay Meanchey</t>
        </is>
      </c>
      <c r="B17" s="10" t="inlineStr">
        <is>
          <t>od_12</t>
        </is>
      </c>
      <c r="C17" s="10">
        <f>IFERROR(INDEX(choices!$C$2:$C$201,MATCH($B17,choices!$B$2:$B$201,0)),"")</f>
        <v/>
      </c>
      <c r="D17" s="22">
        <f>COUNTIFS(choices!$A$2:$A$201,"hc",choices!$E$2:$E$201,$B17)</f>
        <v/>
      </c>
      <c r="F17" t="inlineStr">
        <is>
          <t>Banteay Meanchey: 11 vs 12 (1 short) — Preah Netr Preah OD has only 1 HC (Nam Tau)</t>
        </is>
      </c>
    </row>
    <row r="18">
      <c r="A18" s="9" t="inlineStr">
        <is>
          <t>Kampong Speu</t>
        </is>
      </c>
      <c r="B18" s="10" t="inlineStr">
        <is>
          <t>od_13</t>
        </is>
      </c>
      <c r="C18" s="10">
        <f>IFERROR(INDEX(choices!$C$2:$C$201,MATCH($B18,choices!$B$2:$B$201,0)),"")</f>
        <v/>
      </c>
      <c r="D18" s="22">
        <f>COUNTIFS(choices!$A$2:$A$201,"hc",choices!$E$2:$E$201,$B18)</f>
        <v/>
      </c>
      <c r="F18" t="inlineStr">
        <is>
          <t>Kampong Speu: 21 vs 19 (2 extra) — verify which HC belong in scope</t>
        </is>
      </c>
    </row>
    <row r="19">
      <c r="A19" s="9" t="inlineStr">
        <is>
          <t>Kampong Speu</t>
        </is>
      </c>
      <c r="B19" s="10" t="inlineStr">
        <is>
          <t>od_14</t>
        </is>
      </c>
      <c r="C19" s="10">
        <f>IFERROR(INDEX(choices!$C$2:$C$201,MATCH($B19,choices!$B$2:$B$201,0)),"")</f>
        <v/>
      </c>
      <c r="D19" s="22">
        <f>COUNTIFS(choices!$A$2:$A$201,"hc",choices!$E$2:$E$201,$B19)</f>
        <v/>
      </c>
      <c r="F19" s="27" t="inlineStr">
        <is>
          <t>Net effect: 109 HC in form vs 111 expected</t>
        </is>
      </c>
    </row>
    <row r="20">
      <c r="A20" s="9" t="inlineStr">
        <is>
          <t>Kampong Speu</t>
        </is>
      </c>
      <c r="B20" s="10" t="inlineStr">
        <is>
          <t>od_15</t>
        </is>
      </c>
      <c r="C20" s="10">
        <f>IFERROR(INDEX(choices!$C$2:$C$201,MATCH($B20,choices!$B$2:$B$201,0)),"")</f>
        <v/>
      </c>
      <c r="D20" s="22">
        <f>COUNTIFS(choices!$A$2:$A$201,"hc",choices!$E$2:$E$201,$B20)</f>
        <v/>
      </c>
    </row>
    <row r="21">
      <c r="A21" s="11" t="inlineStr">
        <is>
          <t>Kampong Speu</t>
        </is>
      </c>
      <c r="B21" s="12" t="inlineStr">
        <is>
          <t>od_16</t>
        </is>
      </c>
      <c r="C21" s="12">
        <f>IFERROR(INDEX(choices!$C$2:$C$201,MATCH($B21,choices!$B$2:$B$201,0)),"")</f>
        <v/>
      </c>
      <c r="D21" s="23">
        <f>COUNTIFS(choices!$A$2:$A$201,"hc",choices!$E$2:$E$201,$B21)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2026-09-01T09:25:46Z</dcterms:created>
  <dcterms:modified xmlns:dcterms="http://purl.org/dc/terms/" xmlns:xsi="http://www.w3.org/2001/XMLSchema-instance" xsi:type="dcterms:W3CDTF">2026-09-03T06:47:47Z</dcterms:modified>
  <cp:lastModifiedBy>Vichka Khy</cp:lastModifiedBy>
</cp:coreProperties>
</file>